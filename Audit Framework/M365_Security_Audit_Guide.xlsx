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yberreadyclinic.sharepoint.com/sites/crcleadership/Shared Documents/2 Development/2026_0529_Google - Microsoft Baseline Security Config Audit/"/>
    </mc:Choice>
  </mc:AlternateContent>
  <xr:revisionPtr revIDLastSave="0" documentId="8_{362DB591-4E15-430C-84FA-8178ACC90D5A}" xr6:coauthVersionLast="47" xr6:coauthVersionMax="47" xr10:uidLastSave="{00000000-0000-0000-0000-000000000000}"/>
  <bookViews>
    <workbookView xWindow="-110" yWindow="-110" windowWidth="25820" windowHeight="15500" tabRatio="500" activeTab="2" xr2:uid="{00000000-000D-0000-FFFF-FFFF00000000}"/>
  </bookViews>
  <sheets>
    <sheet name="README" sheetId="1" r:id="rId1"/>
    <sheet name="Controls" sheetId="2" r:id="rId2"/>
    <sheet name="Alerts" sheetId="3" r:id="rId3"/>
    <sheet name="Scorecard" sheetId="4" r:id="rId4"/>
    <sheet name="Portal Map" sheetId="5" r:id="rId5"/>
    <sheet name="Priority Ke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4" l="1"/>
  <c r="B13" i="4"/>
  <c r="B12" i="4"/>
  <c r="B11" i="4"/>
  <c r="B10" i="4"/>
  <c r="B9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<sst xmlns="http://schemas.openxmlformats.org/spreadsheetml/2006/main" count="440" uniqueCount="362">
  <si>
    <t>Microsoft 365 Security Configuration Audit Guide</t>
  </si>
  <si>
    <t>Purpose</t>
  </si>
  <si>
    <t>Baseline of M365/Entra security configurations ordered by impact on stopping a cyber attack. As the GRC analyst you validate each control with the exact portal steps, record PASS/FAIL, and confirm the matching detection/divergence alert exists.</t>
  </si>
  <si>
    <t>Tabs</t>
  </si>
  <si>
    <t>1) Controls  2) Alerts  3) Scorecard  4) Portal Map  5) Priority Key. Work top-to-bottom; P1 first.</t>
  </si>
  <si>
    <t>Admin portals</t>
  </si>
  <si>
    <t>entra.microsoft.com (Entra ID), admin.microsoft.com (M365 Admin), security.microsoft.com (Defender XDR), purview.microsoft.com (Purview/compliance), admin.exchange.microsoft.com (EAC), intune.microsoft.com (Intune). See Portal Map tab.</t>
  </si>
  <si>
    <t>Roles needed</t>
  </si>
  <si>
    <t>Read assessment needs Global Reader + Security Reader at minimum. Remediation needs the specific role (e.g., Conditional Access Administrator). Avoid using Global Admin to assess.</t>
  </si>
  <si>
    <t>Licensing</t>
  </si>
  <si>
    <t>Many controls require Entra ID P1/P2, Defender for Office 365 P1/P2, Defender for Endpoint, or Purview (E5/E5 Compliance). Each license-gated control is flagged. If unavailable, mark "NA - license".</t>
  </si>
  <si>
    <t>Evidence</t>
  </si>
  <si>
    <t>Capture per control: screenshot, scope (which users/groups/policy), who validated, date. Many checks can also be pulled via Microsoft Graph / Graph PowerShell for repeatability.</t>
  </si>
  <si>
    <t>Cadence</t>
  </si>
  <si>
    <t>P1 = monthly, P2 = quarterly, P3/P4 = semi-annual, plus on every major tenant/config change.</t>
  </si>
  <si>
    <t>Scope warning</t>
  </si>
  <si>
    <t>Check Conditional Access policy assignments for excluded users/groups and "report-only" policies masquerading as enforced. Verify no policy gap (guests, break-glass scope, legacy auth path) weakens the baseline.</t>
  </si>
  <si>
    <t>ID</t>
  </si>
  <si>
    <t>Priority</t>
  </si>
  <si>
    <t>Domain</t>
  </si>
  <si>
    <t>Control / Baseline Setting</t>
  </si>
  <si>
    <t>Why it stops an attack</t>
  </si>
  <si>
    <t>Validation Steps (Portal)</t>
  </si>
  <si>
    <t>Expected Baseline State</t>
  </si>
  <si>
    <t>Result (PASS/FAIL/NA)</t>
  </si>
  <si>
    <t>Evidence Ref</t>
  </si>
  <si>
    <t>MC-01</t>
  </si>
  <si>
    <t>P1</t>
  </si>
  <si>
    <t>Identity</t>
  </si>
  <si>
    <t>Enforce MFA for all users via Conditional Access</t>
  </si>
  <si>
    <t>Credential theft is the top initial-access vector. CA-enforced MFA blocks account takeover from phishing and password spray.</t>
  </si>
  <si>
    <t>1) entra.microsoft.com &gt; Protection &gt; Conditional Access &gt; Policies.
2) Confirm a policy: All users (minus break-glass), All cloud apps, Grant = Require MFA, State = On (not Report-only).
3) Check Users/Excluded for over-broad exclusions.
4) Verify Security Defaults is OFF only if CA fully covers MFA (Entra &gt; Overview &gt; Properties).</t>
  </si>
  <si>
    <t>CA MFA policy ON for all users; only break-glass excluded; no coverage gaps.</t>
  </si>
  <si>
    <t>MC-02</t>
  </si>
  <si>
    <t>Require phishing-resistant MFA for admins</t>
  </si>
  <si>
    <t>Admin/privileged compromise = tenant compromise. FIDO2/Windows Hello/cert-based MFA defeats real-time phishing &amp; MFA fatigue.</t>
  </si>
  <si>
    <t>1) Entra &gt; Protection &gt; Conditional Access: policy targeting all admin roles (or PIM-eligible) with Grant = Require authentication strength = "Phishing-resistant MFA".
2) Entra &gt; Protection &gt; Authentication methods: FIDO2/passkey enabled.
3) Confirm each admin has a phishing-resistant method registered.</t>
  </si>
  <si>
    <t>Admins required to use phishing-resistant strength; methods registered; no SMS fallback for admins.</t>
  </si>
  <si>
    <t>MC-03</t>
  </si>
  <si>
    <t>Block legacy authentication</t>
  </si>
  <si>
    <t>Legacy/basic auth (IMAP, POP, SMTP AUTH, older Office) bypasses MFA and is the prime password-spray target.</t>
  </si>
  <si>
    <t>1) Entra &gt; Conditional Access: policy "Block legacy authentication", Client apps = Exchange ActiveSync + Other clients, Grant = Block, State = On.
2) Entra &gt; Sign-in logs: filter Client app = legacy to confirm no successful legacy sign-ins.
3) EAC: confirm SMTP AUTH disabled org-wide unless per-mailbox justified.</t>
  </si>
  <si>
    <t>Legacy auth blocked by CA; 0 successful legacy sign-ins; SMTP AUTH off by default.</t>
  </si>
  <si>
    <t>MC-04</t>
  </si>
  <si>
    <t>Privileged</t>
  </si>
  <si>
    <t>Implement PIM - just-in-time roles [Entra P2]</t>
  </si>
  <si>
    <t>Eliminates standing privilege. JIT, time-bound, approval-gated activation shrinks the window an attacker can abuse admin rights.</t>
  </si>
  <si>
    <t>1) Entra &gt; Identity governance &gt; Privileged Identity Management &gt; Roles.
2) Confirm high-value roles (Global Admin, Privileged Role Admin, etc.) have eligible (not permanent) assignments.
3) Verify activation requires MFA + justification (+ approval for top roles).
4) Check for unexpected permanent active assignments.</t>
  </si>
  <si>
    <t>Privileged roles eligible/JIT, MFA+justification on activation; minimal permanent admins. (Entra P2)</t>
  </si>
  <si>
    <t>MC-05</t>
  </si>
  <si>
    <t>Minimize and control Global Administrators</t>
  </si>
  <si>
    <t>Global Admins bypass most controls. Fewer, monitored GAs reduce blast radius; cloud-only break-glass survives federation/SSO outages.</t>
  </si>
  <si>
    <t>1) Entra &gt; Roles and administrators &gt; Global Administrator &gt; Assignments.
2) Confirm &lt;=5 GAs, each named &amp; justified; no service/shared accounts.
3) Confirm 2 cloud-only break-glass GAs, excluded from CA MFA but protected by FIDO2 + long passphrase, monitored, stored offline.
4) Cross-check against HR.</t>
  </si>
  <si>
    <t>&lt;=5 GAs named/justified; 2 documented break-glass accounts; no shared/service GAs.</t>
  </si>
  <si>
    <t>MC-06</t>
  </si>
  <si>
    <t>Enable risk-based Conditional Access (sign-in &amp; user risk) [Entra P2]</t>
  </si>
  <si>
    <t>Detects/blocks token theft, impossible travel, leaked creds in real time - catches takeover MFA alone misses.</t>
  </si>
  <si>
    <t>1) Entra &gt; Conditional Access: policy on Sign-in risk = High/Medium -&gt; Block or require MFA (+ token protection where available).
2) Policy on User risk = High -&gt; require secure password change.
3) Confirm State = On (not report-only).
4) Entra &gt; Identity Protection: review risky users/sign-ins are actioned.</t>
  </si>
  <si>
    <t>Sign-in &amp; user risk CA policies enforced; risky users remediated. (Entra P2)</t>
  </si>
  <si>
    <t>MC-07</t>
  </si>
  <si>
    <t>Restrict user consent to apps (OAuth) &amp; review enterprise apps</t>
  </si>
  <si>
    <t>Illicit-consent (OAuth) grants exfiltrate mail/files without a password and persist through resets - major data-theft &amp; persistence vector.</t>
  </si>
  <si>
    <t>1) Entra &gt; Enterprise applications &gt; Consent and permissions &gt; User consent settings = "Do not allow" or "Allow for verified publishers, low-impact".
2) Enable admin consent workflow.
3) Review Enterprise apps for high-privilege/Graph mail.read/files grants; remove unknown.
4) Check for suspicious app registrations &amp; credentials.</t>
  </si>
  <si>
    <t>User consent restricted; admin consent workflow on; no rogue high-privilege app grants.</t>
  </si>
  <si>
    <t>MC-08</t>
  </si>
  <si>
    <t>Email</t>
  </si>
  <si>
    <t>Enable Defender for Office 365 anti-phishing policy [DfO]</t>
  </si>
  <si>
    <t>Email is the dominant delivery channel. Anti-phish adds impersonation/spoof intelligence and mailbox-intelligence protection.</t>
  </si>
  <si>
    <t>1) security.microsoft.com &gt; Email &amp; collaboration &gt; Policies &amp; rules &gt; Threat policies &gt; Anti-phishing.
2) Confirm Standard/Strict preset coverage: mailbox intelligence ON, impersonation protection for key users/domains ON, spoof intelligence ON, action = Quarantine.
3) Confirm applied to all recipients.</t>
  </si>
  <si>
    <t>Anti-phishing policy at Standard/Strict for all users; quarantine actions set. (Defender for O365)</t>
  </si>
  <si>
    <t>MC-09</t>
  </si>
  <si>
    <t>Enable Safe Attachments &amp; Safe Links [DfO]</t>
  </si>
  <si>
    <t>Detonates attachments and rewrites/scans URLs at click-time, blocking malware and delayed/weaponized links.</t>
  </si>
  <si>
    <t>1) Defender &gt; Threat policies &gt; Safe Attachments: policy ON, action = Block, applied to all.
2) Safe Links: policy ON for email + Teams + Office apps, "do not let users click through" ON.
3) Confirm Standard/Strict preset enabled.</t>
  </si>
  <si>
    <t>Safe Attachments (Block) and Safe Links (email+Teams+Office) enabled for all. (Defender for O365)</t>
  </si>
  <si>
    <t>MC-10</t>
  </si>
  <si>
    <t>Enforce SPF, DKIM, DMARC for all domains</t>
  </si>
  <si>
    <t>Prevents domain spoofing used to phish staff/partners; enables inbound spoof rejection.</t>
  </si>
  <si>
    <t>1) DKIM: Defender &gt; Email auth settings &gt; DKIM - enabled &amp; signing for each domain.
2) SPF: DNS TXT includes "include:spf.protection.outlook.com -all".
3) DMARC: _dmarc TXT with p=reject (min p=quarantine) + rua reporting.
4) Confirm no domain unprotected.</t>
  </si>
  <si>
    <t>DKIM signing on, SPF -all, DMARC p=reject with reporting on every domain.</t>
  </si>
  <si>
    <t>MC-11</t>
  </si>
  <si>
    <t>Disable external auto-forwarding</t>
  </si>
  <si>
    <t>Auto-forward to external addresses is a classic BEC persistence/exfiltration mechanism after mailbox compromise.</t>
  </si>
  <si>
    <t>1) Defender &gt; Threat policies &gt; Anti-spam &gt; Outbound spam policy: Automatic forwarding = Off (disabled).
2) EAC: check transport rules / remote domains do not permit auto-forward.
3) Hunt existing forwarding rules (Get-InboxRule via PowerShell).</t>
  </si>
  <si>
    <t>External auto-forwarding disabled org-wide; no rogue forwarding rules.</t>
  </si>
  <si>
    <t>MC-12</t>
  </si>
  <si>
    <t>P2</t>
  </si>
  <si>
    <t>Devices</t>
  </si>
  <si>
    <t>Require compliant/managed device via Conditional Access [Intune]</t>
  </si>
  <si>
    <t>Blocks access from unmanaged/non-compliant endpoints even with valid creds + MFA; ties access to device posture.</t>
  </si>
  <si>
    <t>1) Entra &gt; Conditional Access: policy Grant = Require device to be marked compliant OR Hybrid Entra joined, for sensitive apps.
2) intune.microsoft.com &gt; Devices &gt; Compliance policies: require encryption, OS min, defender, screen lock.
3) Verify enrollment coverage; review non-compliant devices.</t>
  </si>
  <si>
    <t>CA requires compliant/managed device for key apps; compliance policies enforce posture. (Intune)</t>
  </si>
  <si>
    <t>MC-13</t>
  </si>
  <si>
    <t>Endpoint</t>
  </si>
  <si>
    <t>Deploy Defender for Endpoint with key protections [MDE]</t>
  </si>
  <si>
    <t>EDR detects/responds to malware, lateral movement, and post-exploitation on endpoints.</t>
  </si>
  <si>
    <t>1) Defender &gt; Settings &gt; Endpoints: confirm onboarding coverage.
2) Confirm ASR rules in Block mode, tamper protection ON, EDR in block mode, cloud-delivered protection ON, automated investigation ON.
3) Review devices not onboarded.</t>
  </si>
  <si>
    <t>MDE onboarded broadly; ASR + tamper protection + EDR block mode on. (Defender for Endpoint)</t>
  </si>
  <si>
    <t>MC-14</t>
  </si>
  <si>
    <t>Sharing</t>
  </si>
  <si>
    <t>Restrict SharePoint/OneDrive external sharing</t>
  </si>
  <si>
    <t>Limits accidental/malicious data exfiltration via over-broad sharing links.</t>
  </si>
  <si>
    <t>1) SharePoint admin &gt; Policies &gt; Sharing.
2) External sharing = "New and existing guests"/"Existing guests"/Only org (not "Anyone").
3) Default link type = "Specific people"; link expiration set for Anyone links if used.
4) Verify OneDrive sharing matches.</t>
  </si>
  <si>
    <t>External sharing limited (no Anyone links by default); default link = Specific people; expiration set.</t>
  </si>
  <si>
    <t>MC-15</t>
  </si>
  <si>
    <t>Collaboration</t>
  </si>
  <si>
    <t>Govern Teams external access &amp; guest access</t>
  </si>
  <si>
    <t>Open external/guest access enables phishing, data leakage, and recon via chat and shared files.</t>
  </si>
  <si>
    <t>1) admin.teams.microsoft.com &gt; Users &gt; External access: limit to allowed domains.
2) Guest access: restrict capabilities; review Entra External Identities settings.
3) Entra &gt; External collaboration: guest invite restrictions limited; guest user access restricted.</t>
  </si>
  <si>
    <t>External/guest access domain-limited and capability-restricted; invite rights limited.</t>
  </si>
  <si>
    <t>MC-16</t>
  </si>
  <si>
    <t>Data</t>
  </si>
  <si>
    <t>Configure Purview DLP for sensitive data [E5/Purview]</t>
  </si>
  <si>
    <t>Detects/blocks exfiltration of regulated data (PII, financial, secrets) across Exchange, SharePoint, OneDrive, Teams, endpoints.</t>
  </si>
  <si>
    <t>1) purview.microsoft.com &gt; Data loss prevention &gt; Policies.
2) Confirm policies covering all locations with sensitive info types (SSN, cards, credentials).
3) Action = Block/encrypt + notify; alerts enabled.
4) Test a policy.</t>
  </si>
  <si>
    <t>DLP policies active across workloads with block/alert on sensitive data. (Purview/E5)</t>
  </si>
  <si>
    <t>MC-17</t>
  </si>
  <si>
    <t>Apply sensitivity labels &amp; encryption [Purview]</t>
  </si>
  <si>
    <t>Protects data wherever it travels via classification + encryption + usage rights.</t>
  </si>
  <si>
    <t>1) purview.microsoft.com &gt; Information protection &gt; Labels &amp; label policies.
2) Confirm labels published with encryption for Confidential tiers; default labeling on; mandatory labeling where appropriate.
3) Verify auto-labeling for known sensitive types.</t>
  </si>
  <si>
    <t>Sensitivity labels published with encryption; default/auto-labeling configured. (Purview)</t>
  </si>
  <si>
    <t>MC-18</t>
  </si>
  <si>
    <t>Enforce strong authentication methods &amp; disable weak ones</t>
  </si>
  <si>
    <t>SMS/voice are phishable and SIM-swappable. Prioritizing app/FIDO methods raises takeover cost.</t>
  </si>
  <si>
    <t>1) Entra &gt; Protection &gt; Authentication methods &gt; Policies.
2) Enable Authenticator (number matching ON), FIDO2, Windows Hello; disable/limit SMS &amp; voice.
3) Confirm Authenticator shows app name + geo context.
4) Migrate off legacy MFA/SSPR policy if still on.</t>
  </si>
  <si>
    <t>App + FIDO methods enabled with number matching; SMS/voice disabled or restricted.</t>
  </si>
  <si>
    <t>MC-19</t>
  </si>
  <si>
    <t>Configure Self-Service Password Reset securely</t>
  </si>
  <si>
    <t>Reduces help-desk social engineering but must require strong proofs to avoid being an MFA bypass.</t>
  </si>
  <si>
    <t>1) Entra &gt; Protection &gt; Password reset.
2) Enabled for users; require 2 methods; disallow security questions (or limit).
3) Confirm registration enforced and writeback (if hybrid) healthy.</t>
  </si>
  <si>
    <t>SSPR on with 2 strong methods; security questions disabled; registration enforced.</t>
  </si>
  <si>
    <t>MC-20</t>
  </si>
  <si>
    <t>Configure quarantine, ZAP, and connection filtering [DfO]</t>
  </si>
  <si>
    <t>Zero-hour Auto Purge removes malicious mail post-delivery; quarantine policies prevent user release of malware.</t>
  </si>
  <si>
    <t>1) Defender &gt; Anti-spam: confirm ZAP ON for malware &amp; phishing.
2) Quarantine policies: restrict end-user release for high-confidence phish/malware.
3) Connection filtering: IP allow/block reviewed; no broad allow-lists bypassing filtering.</t>
  </si>
  <si>
    <t>ZAP on; quarantine release restricted for high-risk; no risky allow-lists.</t>
  </si>
  <si>
    <t>MC-21</t>
  </si>
  <si>
    <t>Restrict who can register apps &amp; create tenants</t>
  </si>
  <si>
    <t>Limits attacker persistence via rogue app registrations and limits shadow tenants.</t>
  </si>
  <si>
    <t>1) Entra &gt; Identity &gt; Settings / User settings: "Users can register applications" = No.
2) "Users can create tenants" = No; group creation limited.
3) Restrict guest inviter role.</t>
  </si>
  <si>
    <t>App registration, tenant creation, and broad group creation restricted to admins.</t>
  </si>
  <si>
    <t>MC-22</t>
  </si>
  <si>
    <t>P3</t>
  </si>
  <si>
    <t>Logging</t>
  </si>
  <si>
    <t>Enable unified audit log &amp; export to SIEM (Sentinel)</t>
  </si>
  <si>
    <t>Centralized, retained logs enable detection, hunting, and investigation beyond default retention.</t>
  </si>
  <si>
    <t>1) purview.microsoft.com &gt; Audit: confirm Audit is ON (search returns results).
2) Confirm sign-in/audit logs streamed to Sentinel/SIEM (Entra &gt; Diagnostic settings -&gt; Log Analytics/Event Hub).
3) Verify retention meets policy.</t>
  </si>
  <si>
    <t>Unified audit log on; Entra + workload logs exported to SIEM; retention per policy.</t>
  </si>
  <si>
    <t>MC-23</t>
  </si>
  <si>
    <t>Review &amp; restrict guest/external user lifecycle</t>
  </si>
  <si>
    <t>Stale or over-privileged guests are unmonitored footholds.</t>
  </si>
  <si>
    <t>1) Entra &gt; Users: filter User type = Guest; review last sign-in.
2) Configure Access Reviews (Identity governance) for guests &amp; privileged groups.
3) Set guest expiration/cleanup; remove stale guests.</t>
  </si>
  <si>
    <t>Guests reviewed via Access Reviews; stale guests removed; least privilege.</t>
  </si>
  <si>
    <t>MC-24</t>
  </si>
  <si>
    <t>Apps</t>
  </si>
  <si>
    <t>Disable unneeded services &amp; protocols</t>
  </si>
  <si>
    <t>Reduces attack surface (unused workloads, legacy protocols, public group creation).</t>
  </si>
  <si>
    <t>1) M365 admin &gt; Settings &gt; Org settings: disable unused services.
2) EAC: disable POP/IMAP per mailbox where unused.
3) Review Bookings, Forms external sharing, Sway for risky defaults.</t>
  </si>
  <si>
    <t>Unused services/protocols disabled; risky defaults hardened.</t>
  </si>
  <si>
    <t>MC-25</t>
  </si>
  <si>
    <t>Define named locations &amp; alert on break-glass use</t>
  </si>
  <si>
    <t>Named locations + alerting on break-glass use detect abuse of emergency accounts and anomalous geographies.</t>
  </si>
  <si>
    <t>1) Entra &gt; Conditional Access &gt; Named locations: define trusted/blocked countries.
2) CA policy blocking sign-in from high-risk countries (with exceptions).
3) Confirm alert on any break-glass account sign-in (see Alerts AL-02).</t>
  </si>
  <si>
    <t>Named locations defined; high-risk geo blocked; break-glass sign-in alerting on.</t>
  </si>
  <si>
    <t>MC-26</t>
  </si>
  <si>
    <t>Harden Outlook/OWA add-ins &amp; block internet macros</t>
  </si>
  <si>
    <t>Limits client-side execution vectors (malicious add-ins, attachment/macro handling).</t>
  </si>
  <si>
    <t>1) M365 admin &gt; Integrated apps / EAC add-ins: restrict user add-in installs.
2) Confirm Office macro policy (via Intune/GPO) blocks macros from internet.
3) Review OWA mailbox policies for attachment handling.</t>
  </si>
  <si>
    <t>User add-in installs restricted; internet macros blocked; OWA policy hardened.</t>
  </si>
  <si>
    <t>MC-27</t>
  </si>
  <si>
    <t>Teams</t>
  </si>
  <si>
    <t>Restrict Teams app permissions &amp; meeting security</t>
  </si>
  <si>
    <t>Controls third-party Teams apps (data access) and limits anonymous meeting join/lobby bypass abuse.</t>
  </si>
  <si>
    <t>1) admin.teams.microsoft.com &gt; Teams apps &gt; Permission/setup policies: block unmanaged 3P apps by default.
2) Meeting policies: anonymous users cannot start, lobby for external, restrict recording/transcription scope.</t>
  </si>
  <si>
    <t>3P Teams apps controlled; meeting lobby &amp; anonymous join restricted.</t>
  </si>
  <si>
    <t>MC-28</t>
  </si>
  <si>
    <t>P4</t>
  </si>
  <si>
    <t>Lifecycle</t>
  </si>
  <si>
    <t>Offboard departed &amp; disable inactive accounts promptly</t>
  </si>
  <si>
    <t>Dormant/orphaned accounts are unmonitored footholds.</t>
  </si>
  <si>
    <t>1) Entra &gt; Users: review last sign-in (Sign-in activity).
2) Disable accounts inactive &gt; policy threshold and departed staff; revoke sessions/tokens.
3) Confirm joiner-mover-leaver process exists.</t>
  </si>
  <si>
    <t>No enabled accounts for departed staff; inactive accounts disabled per policy; tokens revoked.</t>
  </si>
  <si>
    <t>MC-29</t>
  </si>
  <si>
    <t>Enable Entra password protection &amp; ban weak passwords</t>
  </si>
  <si>
    <t>Backstops MFA; password protection blocks common/banned passwords.</t>
  </si>
  <si>
    <t>1) Entra &gt; Protection &gt; Authentication methods &gt; Password protection: custom banned list configured, lockout threshold set.
2) For hybrid: confirm on-prem agent deployed (enforce mode).
3) Track passwordless adoption.</t>
  </si>
  <si>
    <t>Banned-password protection on (enforce); lockout configured; passwordless roadmap.</t>
  </si>
  <si>
    <t>MC-30</t>
  </si>
  <si>
    <t>Review admin role assignments &amp; enable access reviews [Entra P2]</t>
  </si>
  <si>
    <t>Catches privilege creep; recertifies who holds admin rights.</t>
  </si>
  <si>
    <t>1) Entra &gt; Roles and administrators: export role assignments; validate each.
2) Identity governance &gt; Access reviews: recurring review for privileged roles &amp; PIM-eligible.
3) Remove unjustified assignments.</t>
  </si>
  <si>
    <t>Privileged roles recertified via access reviews; no unjustified assignments. (Entra P2)</t>
  </si>
  <si>
    <t>MC-31</t>
  </si>
  <si>
    <t>Configure retention policies &amp; litigation hold [Purview]</t>
  </si>
  <si>
    <t>Ensures retention, legal hold, and recoverability for investigations/compliance.</t>
  </si>
  <si>
    <t>1) purview.microsoft.com &gt; Data lifecycle management: retention policies for Exchange/SP/OneDrive/Teams.
2) Confirm litigation/eDiscovery holds where required.
3) Validate retention meets policy.</t>
  </si>
  <si>
    <t>Retention policies &amp; holds configured per policy. (Purview)</t>
  </si>
  <si>
    <t>MC-32</t>
  </si>
  <si>
    <t>Resilience</t>
  </si>
  <si>
    <t>Verify backup/recovery of M365 data &amp; recycle bin settings</t>
  </si>
  <si>
    <t>Native retention is not backup; ransomware/insider deletion needs recoverability.</t>
  </si>
  <si>
    <t>1) Confirm 3rd-party or native protection strategy for mailboxes/SharePoint/OneDrive.
2) SharePoint recycle bin retention reviewed; versioning on.
3) Document RPO/RTO.</t>
  </si>
  <si>
    <t>Recovery strategy documented; versioning/recycle bin configured; RPO/RTO defined.</t>
  </si>
  <si>
    <t>MC-33</t>
  </si>
  <si>
    <t>Posture</t>
  </si>
  <si>
    <t>Track Microsoft Secure Score &amp; exposure</t>
  </si>
  <si>
    <t>Provides a continuous, prioritized posture baseline to measure drift over time.</t>
  </si>
  <si>
    <t>1) security.microsoft.com &gt; Exposure management / Secure Score.
2) Record current score &amp; top recommended actions.
3) Set target and re-measure each cycle.</t>
  </si>
  <si>
    <t>Secure Score tracked with target; top actions triaged each cycle.</t>
  </si>
  <si>
    <t>Alert ID</t>
  </si>
  <si>
    <t>Linked Control</t>
  </si>
  <si>
    <t>Alert Name</t>
  </si>
  <si>
    <t>Trigger / Condition</t>
  </si>
  <si>
    <t>Type</t>
  </si>
  <si>
    <t>How to Create the Alert (Portal)</t>
  </si>
  <si>
    <t>Recommended Action on Fire</t>
  </si>
  <si>
    <t>Configured? (Y/N)</t>
  </si>
  <si>
    <t>AL-01</t>
  </si>
  <si>
    <t>New / changed privileged role assignment</t>
  </si>
  <si>
    <t>User added to Global Admin or other privileged role</t>
  </si>
  <si>
    <t>Incident</t>
  </si>
  <si>
    <t>1) Entra &gt; Monitoring &gt; Diagnostic settings -&gt; Sentinel/Log Analytics on AuditLogs.
2) Sentinel/Defender rule on "Add member to role" for privileged roleIds.
3) Or Purview Alert policy "Added member to a role".
4) Notify SOC DL.</t>
  </si>
  <si>
    <t>Validate against change ticket / PIM approval; if unauthorized, remove role, revoke sessions, investigate granter.</t>
  </si>
  <si>
    <t>AL-02</t>
  </si>
  <si>
    <t>MC-05/25</t>
  </si>
  <si>
    <t>Break-glass account sign-in</t>
  </si>
  <si>
    <t>Any sign-in by an emergency/break-glass account</t>
  </si>
  <si>
    <t>1) Entra sign-in logs -&gt; Sentinel.
2) Analytics rule: SigninLogs where UPN in (break-glass UPNs).
3) Page on-call immediately.</t>
  </si>
  <si>
    <t>Confirm a real emergency justified use; if not, treat as compromise - isolate, rotate creds, full IR.</t>
  </si>
  <si>
    <t>AL-03</t>
  </si>
  <si>
    <t>MC-01/06</t>
  </si>
  <si>
    <t>MFA / CA policy disabled or modified</t>
  </si>
  <si>
    <t>A Conditional Access policy is disabled, deleted, or weakened</t>
  </si>
  <si>
    <t>Baseline Divergence</t>
  </si>
  <si>
    <t>1) AuditLogs -&gt; Sentinel: rule on "Update/Delete conditional access policy".
2) Severity High to SOC.</t>
  </si>
  <si>
    <t>Treat as P1 divergence: restore policy from baseline, identify actor, check for concurrent abuse.</t>
  </si>
  <si>
    <t>AL-04</t>
  </si>
  <si>
    <t>Illicit OAuth / app consent grant</t>
  </si>
  <si>
    <t>User or admin consents to risky app; new high-privilege Graph permission</t>
  </si>
  <si>
    <t>1) Defender &gt; Policies &gt; Alert policies + app governance (Defender for Cloud Apps) anomaly alerts.
2) Sentinel rule on "Consent to application" with mail/files scopes.
3) Notify SOC.</t>
  </si>
  <si>
    <t>Review app; revoke consent (Enterprise apps &gt; Permissions), disable app, hunt mailbox/file access.</t>
  </si>
  <si>
    <t>AL-05</t>
  </si>
  <si>
    <t>New external mail forwarding rule</t>
  </si>
  <si>
    <t>Inbox/transport rule forwarding mail externally created</t>
  </si>
  <si>
    <t>1) Defender &gt; Alert policies: enable "Creation of forwarding/redirect rule" + "Suspicious email forwarding".
2) Confirm recipients set.</t>
  </si>
  <si>
    <t>Classic BEC: remove rule, reset password + revoke tokens, investigate mailbox access timeline.</t>
  </si>
  <si>
    <t>AL-06</t>
  </si>
  <si>
    <t>MC-08/09</t>
  </si>
  <si>
    <t>Phishing/malware detected (incl. ZAP)</t>
  </si>
  <si>
    <t>Defender detects/quarantines phish/malware; user-reported phish</t>
  </si>
  <si>
    <t>1) Defender &gt; Alert policies: ensure "Email messages removed after delivery (ZAP)", "A potentially malicious URL click", "Email reported by user as malware/phish" are ON.
2) Set recipients/Incident creation.</t>
  </si>
  <si>
    <t>Triage via Defender Incidents; purge similar mail; check click-through &amp; sign-ins.</t>
  </si>
  <si>
    <t>AL-07</t>
  </si>
  <si>
    <t>Risky user / risky sign-in detected</t>
  </si>
  <si>
    <t>Identity Protection flags high-risk user or sign-in</t>
  </si>
  <si>
    <t>1) Entra &gt; Identity Protection: confirm "Users at risk detected" &amp; "Risky sign-in" alert emails configured.
2) Stream RiskyUsers to Sentinel for correlation.</t>
  </si>
  <si>
    <t>Confirm/dismiss risk; force secure password change + revoke sessions; investigate.</t>
  </si>
  <si>
    <t>AL-08</t>
  </si>
  <si>
    <t>Anomalous / mass external sharing</t>
  </si>
  <si>
    <t>Spike in external sharing or anonymous link creation</t>
  </si>
  <si>
    <t>1) Defender &gt; Alert policies: enable "Unusual volume of external file sharing" &amp; "Unusual volume of file deletion".
2) Defender for Cloud Apps activity policies for sharing anomalies.</t>
  </si>
  <si>
    <t>Review shares; revoke anonymous links; contact data owner; check for exfiltration.</t>
  </si>
  <si>
    <t>AL-09</t>
  </si>
  <si>
    <t>Legacy auth / password-spray pattern</t>
  </si>
  <si>
    <t>Spike of failed legacy-auth or spray sign-ins</t>
  </si>
  <si>
    <t>1) Sentinel analytics rule on SigninLogs: legacy ClientApp + many failures across accounts (built-in templates exist).
2) Severity High.</t>
  </si>
  <si>
    <t>Confirm legacy block enforced; lock targeted accounts; verify no success; tune CA.</t>
  </si>
  <si>
    <t>AL-10</t>
  </si>
  <si>
    <t>New app registration / credential added</t>
  </si>
  <si>
    <t>New app registration or new client secret/cert added</t>
  </si>
  <si>
    <t>1) AuditLogs -&gt; Sentinel: rule on "Add application"/"Add service principal credentials".
2) Notify SOC.</t>
  </si>
  <si>
    <t>Validate ownership; if rogue, disable app &amp; remove credential, hunt for token use.</t>
  </si>
  <si>
    <t>AL-11</t>
  </si>
  <si>
    <t>Purview DLP rule match (high severity)</t>
  </si>
  <si>
    <t>Sensitive-data DLP policy matched on send/share</t>
  </si>
  <si>
    <t>1) Purview &gt; DLP policy: set rule to generate incident report/alert (High).
2) Confirm visible in Defender Alerts.</t>
  </si>
  <si>
    <t>Review exposure; block/recall; notify data owner &amp; privacy if regulated.</t>
  </si>
  <si>
    <t>AL-12</t>
  </si>
  <si>
    <t>Audit logging / diagnostic export disabled</t>
  </si>
  <si>
    <t>Unified audit log turned off or diagnostic setting removed</t>
  </si>
  <si>
    <t>1) AuditLogs -&gt; Sentinel: rule on changes to diagnostic settings / audit toggle.
2) High severity.</t>
  </si>
  <si>
    <t>Re-enable immediately; investigate actor (possible attacker covering tracks).</t>
  </si>
  <si>
    <t>AL-13</t>
  </si>
  <si>
    <t>Access from non-compliant/unmanaged device</t>
  </si>
  <si>
    <t>CA blocked or risky access from unmanaged device on sensitive app</t>
  </si>
  <si>
    <t>1) Sentinel rule on SigninLogs where device compliant = false on targeted apps (or CA "Block" results).
2) Notify SOC.</t>
  </si>
  <si>
    <t>Confirm policy holding; investigate repeated attempts; check device &amp; user.</t>
  </si>
  <si>
    <t>AL-14</t>
  </si>
  <si>
    <t>Guest invited / external access expanded</t>
  </si>
  <si>
    <t>New guest invite, or external/guest sharing setting loosened</t>
  </si>
  <si>
    <t>1) AuditLogs -&gt; Sentinel: "Invite external user" + "Update authorization policy"/external collab settings.
2) Notify SOC.</t>
  </si>
  <si>
    <t>Confirm authorized; revoke unneeded guests; revert loosened settings.</t>
  </si>
  <si>
    <t>AL-15</t>
  </si>
  <si>
    <t>EDR/AV protection disabled or tamper attempt</t>
  </si>
  <si>
    <t>Tamper protection / real-time protection disabled on an endpoint</t>
  </si>
  <si>
    <t>1) Defender &gt; Incidents &amp; alerts: ensure tamper-protection &amp; "AV disabled" alerts on.
2) Stream to SIEM.</t>
  </si>
  <si>
    <t>Treat as active compromise indicator; isolate device, investigate, re-enable, hunt.</t>
  </si>
  <si>
    <t>Assessment Scorecard</t>
  </si>
  <si>
    <t>Metric</t>
  </si>
  <si>
    <t>Value</t>
  </si>
  <si>
    <t>Notes</t>
  </si>
  <si>
    <t>Total controls</t>
  </si>
  <si>
    <t>Controls PASS</t>
  </si>
  <si>
    <t>Controls FAIL</t>
  </si>
  <si>
    <t>FAIL on any P1 = critical risk</t>
  </si>
  <si>
    <t>Controls N/A</t>
  </si>
  <si>
    <t>Usually license-gated</t>
  </si>
  <si>
    <t>Controls not yet assessed</t>
  </si>
  <si>
    <t>P1 controls failing</t>
  </si>
  <si>
    <t>Must be 0</t>
  </si>
  <si>
    <t>P2 controls failing</t>
  </si>
  <si>
    <t>Compliance % (of assessed)</t>
  </si>
  <si>
    <t>PASS / (PASS+FAIL)</t>
  </si>
  <si>
    <t>Alerts configured</t>
  </si>
  <si>
    <t>Alerts NOT configured</t>
  </si>
  <si>
    <t>Each gap = blind spot</t>
  </si>
  <si>
    <t>Total alerts defined</t>
  </si>
  <si>
    <t>Admin Portal Reference</t>
  </si>
  <si>
    <t>Portal</t>
  </si>
  <si>
    <t>URL</t>
  </si>
  <si>
    <t>Used for</t>
  </si>
  <si>
    <t>Microsoft Entra admin</t>
  </si>
  <si>
    <t>entra.microsoft.com</t>
  </si>
  <si>
    <t>Identity, Conditional Access, PIM, Identity Protection, auth methods, roles, app registrations</t>
  </si>
  <si>
    <t>Microsoft 365 admin</t>
  </si>
  <si>
    <t>admin.microsoft.com</t>
  </si>
  <si>
    <t>Tenant settings, users/licenses, org settings, integrated apps</t>
  </si>
  <si>
    <t>Microsoft Defender XDR</t>
  </si>
  <si>
    <t>security.microsoft.com</t>
  </si>
  <si>
    <t>Email/collab threat policies, alerts/incidents, Secure Score, endpoint, Defender for O365</t>
  </si>
  <si>
    <t>Microsoft Purview</t>
  </si>
  <si>
    <t>purview.microsoft.com</t>
  </si>
  <si>
    <t>DLP, sensitivity labels, retention, audit log, eDiscovery</t>
  </si>
  <si>
    <t>Exchange admin (EAC)</t>
  </si>
  <si>
    <t>admin.exchange.microsoft.com</t>
  </si>
  <si>
    <t>Mail flow/transport rules, mailbox settings, SMTP AUTH, POP/IMAP</t>
  </si>
  <si>
    <t>Microsoft Intune</t>
  </si>
  <si>
    <t>intune.microsoft.com</t>
  </si>
  <si>
    <t>Device compliance &amp; configuration, app protection</t>
  </si>
  <si>
    <t>Teams admin</t>
  </si>
  <si>
    <t>admin.teams.microsoft.com</t>
  </si>
  <si>
    <t>External/guest access, meeting &amp; app permission policies</t>
  </si>
  <si>
    <t>SharePoint admin</t>
  </si>
  <si>
    <t>&lt;tenant&gt;-admin.sharepoint.com</t>
  </si>
  <si>
    <t>SharePoint/OneDrive sharing policies</t>
  </si>
  <si>
    <t>Microsoft Sentinel</t>
  </si>
  <si>
    <t>portal.azure.com (Sentinel)</t>
  </si>
  <si>
    <t>SIEM: analytics rules, log retention, hunting (alert backbone)</t>
  </si>
  <si>
    <t>Graph / PowerShell</t>
  </si>
  <si>
    <t>Microsoft Graph PowerShell SDK</t>
  </si>
  <si>
    <t>Repeatable evidence pulls &amp; bulk validation across the above</t>
  </si>
  <si>
    <t>Priority Key &amp; Cadence</t>
  </si>
  <si>
    <t>Tier</t>
  </si>
  <si>
    <t>Meaning / Validation Cadence</t>
  </si>
  <si>
    <t>Critical</t>
  </si>
  <si>
    <t>Highest-impact attack stoppers (MFA, phishing-resistant admin MFA, legacy-auth block, PIM, GA control, risk-based CA, OAuth consent, Defender anti-phish/Safe Links, SPF/DKIM/DMARC, forwarding). Validate MONTHLY and on every change. A P1 FAIL is a critical finding.</t>
  </si>
  <si>
    <t>High</t>
  </si>
  <si>
    <t>Strong containment &amp; exfiltration controls (device compliance, EDR, sharing, Teams/guest access, DLP, labels, auth methods, quarantine/ZAP, app registration). Validate QUARTERLY.</t>
  </si>
  <si>
    <t>Medium</t>
  </si>
  <si>
    <t>Attack-surface reduction &amp; visibility (audit/SIEM export, guest lifecycle, disabling services, named locations, add-in/macro hardening, Teams apps). Validate SEMI-ANNUALLY.</t>
  </si>
  <si>
    <t>Foundational</t>
  </si>
  <si>
    <t>Hygiene, governance &amp; resilience (offboarding, password protection, access reviews, retention/holds, backup, Secure Score tracking). Validate SEMI-ANNUALLY.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</si>
</sst>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3399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30" customWidth="1"/>
    <col min="3" max="3" width="100" customWidth="1"/>
  </cols>
  <sheetData>
    <row r="2" spans="2:3" ht="36" customHeight="1" x14ac:dyDescent="0.35">
      <c r="B2" s="3" t="s">
        <v>0</v>
      </c>
      <c r="C2" s="3"/>
    </row>
    <row r="4" spans="2:3" ht="45.75" customHeight="1" x14ac:dyDescent="0.35">
      <c r="B4" s="4" t="s">
        <v>1</v>
      </c>
      <c r="C4" s="5" t="s">
        <v>2</v>
      </c>
    </row>
    <row r="5" spans="2:3" ht="45.75" customHeight="1" x14ac:dyDescent="0.35">
      <c r="B5" s="4" t="s">
        <v>3</v>
      </c>
      <c r="C5" s="5" t="s">
        <v>4</v>
      </c>
    </row>
    <row r="6" spans="2:3" ht="45.75" customHeight="1" x14ac:dyDescent="0.35">
      <c r="B6" s="4" t="s">
        <v>5</v>
      </c>
      <c r="C6" s="5" t="s">
        <v>6</v>
      </c>
    </row>
    <row r="7" spans="2:3" ht="45.75" customHeight="1" x14ac:dyDescent="0.35">
      <c r="B7" s="4" t="s">
        <v>7</v>
      </c>
      <c r="C7" s="5" t="s">
        <v>8</v>
      </c>
    </row>
    <row r="8" spans="2:3" ht="45.75" customHeight="1" x14ac:dyDescent="0.35">
      <c r="B8" s="4" t="s">
        <v>9</v>
      </c>
      <c r="C8" s="5" t="s">
        <v>10</v>
      </c>
    </row>
    <row r="9" spans="2:3" ht="45.75" customHeight="1" x14ac:dyDescent="0.35">
      <c r="B9" s="4" t="s">
        <v>11</v>
      </c>
      <c r="C9" s="5" t="s">
        <v>12</v>
      </c>
    </row>
    <row r="10" spans="2:3" ht="45.75" customHeight="1" x14ac:dyDescent="0.35">
      <c r="B10" s="4" t="s">
        <v>13</v>
      </c>
      <c r="C10" s="5" t="s">
        <v>14</v>
      </c>
    </row>
    <row r="11" spans="2:3" ht="45.75" customHeight="1" x14ac:dyDescent="0.35">
      <c r="B11" s="4" t="s">
        <v>15</v>
      </c>
      <c r="C11" s="5" t="s">
        <v>16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7" customWidth="1"/>
    <col min="2" max="2" width="9" customWidth="1"/>
    <col min="3" max="3" width="18" customWidth="1"/>
    <col min="4" max="4" width="30" customWidth="1"/>
    <col min="5" max="5" width="34" customWidth="1"/>
    <col min="6" max="6" width="62" customWidth="1"/>
    <col min="7" max="7" width="30" customWidth="1"/>
    <col min="8" max="8" width="15" customWidth="1"/>
    <col min="9" max="9" width="16" customWidth="1"/>
  </cols>
  <sheetData>
    <row r="1" spans="1:9" ht="30" customHeight="1" x14ac:dyDescent="0.35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</row>
    <row r="2" spans="1:9" ht="75" x14ac:dyDescent="0.35">
      <c r="A2" s="7" t="s">
        <v>26</v>
      </c>
      <c r="B2" s="8" t="s">
        <v>27</v>
      </c>
      <c r="C2" s="9" t="s">
        <v>28</v>
      </c>
      <c r="D2" s="10" t="s">
        <v>29</v>
      </c>
      <c r="E2" s="9" t="s">
        <v>30</v>
      </c>
      <c r="F2" s="9" t="s">
        <v>31</v>
      </c>
      <c r="G2" s="9" t="s">
        <v>32</v>
      </c>
      <c r="H2" s="11"/>
      <c r="I2" s="9"/>
    </row>
    <row r="3" spans="1:9" ht="62.5" x14ac:dyDescent="0.35">
      <c r="A3" s="7" t="s">
        <v>33</v>
      </c>
      <c r="B3" s="8" t="s">
        <v>27</v>
      </c>
      <c r="C3" s="9" t="s">
        <v>28</v>
      </c>
      <c r="D3" s="10" t="s">
        <v>34</v>
      </c>
      <c r="E3" s="9" t="s">
        <v>35</v>
      </c>
      <c r="F3" s="9" t="s">
        <v>36</v>
      </c>
      <c r="G3" s="9" t="s">
        <v>37</v>
      </c>
      <c r="H3" s="11"/>
      <c r="I3" s="9"/>
    </row>
    <row r="4" spans="1:9" ht="75" x14ac:dyDescent="0.35">
      <c r="A4" s="7" t="s">
        <v>38</v>
      </c>
      <c r="B4" s="8" t="s">
        <v>27</v>
      </c>
      <c r="C4" s="9" t="s">
        <v>28</v>
      </c>
      <c r="D4" s="10" t="s">
        <v>39</v>
      </c>
      <c r="E4" s="9" t="s">
        <v>40</v>
      </c>
      <c r="F4" s="9" t="s">
        <v>41</v>
      </c>
      <c r="G4" s="9" t="s">
        <v>42</v>
      </c>
      <c r="H4" s="11"/>
      <c r="I4" s="9"/>
    </row>
    <row r="5" spans="1:9" ht="62.5" x14ac:dyDescent="0.35">
      <c r="A5" s="7" t="s">
        <v>43</v>
      </c>
      <c r="B5" s="8" t="s">
        <v>27</v>
      </c>
      <c r="C5" s="9" t="s">
        <v>44</v>
      </c>
      <c r="D5" s="10" t="s">
        <v>45</v>
      </c>
      <c r="E5" s="9" t="s">
        <v>46</v>
      </c>
      <c r="F5" s="9" t="s">
        <v>47</v>
      </c>
      <c r="G5" s="9" t="s">
        <v>48</v>
      </c>
      <c r="H5" s="11"/>
      <c r="I5" s="9"/>
    </row>
    <row r="6" spans="1:9" ht="62.5" x14ac:dyDescent="0.35">
      <c r="A6" s="7" t="s">
        <v>49</v>
      </c>
      <c r="B6" s="8" t="s">
        <v>27</v>
      </c>
      <c r="C6" s="9" t="s">
        <v>44</v>
      </c>
      <c r="D6" s="10" t="s">
        <v>50</v>
      </c>
      <c r="E6" s="9" t="s">
        <v>51</v>
      </c>
      <c r="F6" s="9" t="s">
        <v>52</v>
      </c>
      <c r="G6" s="9" t="s">
        <v>53</v>
      </c>
      <c r="H6" s="11"/>
      <c r="I6" s="9"/>
    </row>
    <row r="7" spans="1:9" ht="62.5" x14ac:dyDescent="0.35">
      <c r="A7" s="7" t="s">
        <v>54</v>
      </c>
      <c r="B7" s="8" t="s">
        <v>27</v>
      </c>
      <c r="C7" s="9" t="s">
        <v>28</v>
      </c>
      <c r="D7" s="10" t="s">
        <v>55</v>
      </c>
      <c r="E7" s="9" t="s">
        <v>56</v>
      </c>
      <c r="F7" s="9" t="s">
        <v>57</v>
      </c>
      <c r="G7" s="9" t="s">
        <v>58</v>
      </c>
      <c r="H7" s="11"/>
      <c r="I7" s="9"/>
    </row>
    <row r="8" spans="1:9" ht="87.5" x14ac:dyDescent="0.35">
      <c r="A8" s="7" t="s">
        <v>59</v>
      </c>
      <c r="B8" s="8" t="s">
        <v>27</v>
      </c>
      <c r="C8" s="9" t="s">
        <v>28</v>
      </c>
      <c r="D8" s="10" t="s">
        <v>60</v>
      </c>
      <c r="E8" s="9" t="s">
        <v>61</v>
      </c>
      <c r="F8" s="9" t="s">
        <v>62</v>
      </c>
      <c r="G8" s="9" t="s">
        <v>63</v>
      </c>
      <c r="H8" s="11"/>
      <c r="I8" s="9"/>
    </row>
    <row r="9" spans="1:9" ht="75" x14ac:dyDescent="0.35">
      <c r="A9" s="7" t="s">
        <v>64</v>
      </c>
      <c r="B9" s="8" t="s">
        <v>27</v>
      </c>
      <c r="C9" s="9" t="s">
        <v>65</v>
      </c>
      <c r="D9" s="10" t="s">
        <v>66</v>
      </c>
      <c r="E9" s="9" t="s">
        <v>67</v>
      </c>
      <c r="F9" s="9" t="s">
        <v>68</v>
      </c>
      <c r="G9" s="9" t="s">
        <v>69</v>
      </c>
      <c r="H9" s="11"/>
      <c r="I9" s="9"/>
    </row>
    <row r="10" spans="1:9" ht="62.5" x14ac:dyDescent="0.35">
      <c r="A10" s="7" t="s">
        <v>70</v>
      </c>
      <c r="B10" s="8" t="s">
        <v>27</v>
      </c>
      <c r="C10" s="9" t="s">
        <v>65</v>
      </c>
      <c r="D10" s="10" t="s">
        <v>71</v>
      </c>
      <c r="E10" s="9" t="s">
        <v>72</v>
      </c>
      <c r="F10" s="9" t="s">
        <v>73</v>
      </c>
      <c r="G10" s="9" t="s">
        <v>74</v>
      </c>
      <c r="H10" s="11"/>
      <c r="I10" s="9"/>
    </row>
    <row r="11" spans="1:9" ht="62.5" x14ac:dyDescent="0.35">
      <c r="A11" s="7" t="s">
        <v>75</v>
      </c>
      <c r="B11" s="8" t="s">
        <v>27</v>
      </c>
      <c r="C11" s="9" t="s">
        <v>65</v>
      </c>
      <c r="D11" s="10" t="s">
        <v>76</v>
      </c>
      <c r="E11" s="9" t="s">
        <v>77</v>
      </c>
      <c r="F11" s="9" t="s">
        <v>78</v>
      </c>
      <c r="G11" s="9" t="s">
        <v>79</v>
      </c>
      <c r="H11" s="11"/>
      <c r="I11" s="9"/>
    </row>
    <row r="12" spans="1:9" ht="62.5" x14ac:dyDescent="0.35">
      <c r="A12" s="7" t="s">
        <v>80</v>
      </c>
      <c r="B12" s="8" t="s">
        <v>27</v>
      </c>
      <c r="C12" s="9" t="s">
        <v>65</v>
      </c>
      <c r="D12" s="10" t="s">
        <v>81</v>
      </c>
      <c r="E12" s="9" t="s">
        <v>82</v>
      </c>
      <c r="F12" s="9" t="s">
        <v>83</v>
      </c>
      <c r="G12" s="9" t="s">
        <v>84</v>
      </c>
      <c r="H12" s="11"/>
      <c r="I12" s="9"/>
    </row>
    <row r="13" spans="1:9" ht="62.5" x14ac:dyDescent="0.35">
      <c r="A13" s="7" t="s">
        <v>85</v>
      </c>
      <c r="B13" s="12" t="s">
        <v>86</v>
      </c>
      <c r="C13" s="9" t="s">
        <v>87</v>
      </c>
      <c r="D13" s="10" t="s">
        <v>88</v>
      </c>
      <c r="E13" s="9" t="s">
        <v>89</v>
      </c>
      <c r="F13" s="9" t="s">
        <v>90</v>
      </c>
      <c r="G13" s="9" t="s">
        <v>91</v>
      </c>
      <c r="H13" s="11"/>
      <c r="I13" s="9"/>
    </row>
    <row r="14" spans="1:9" ht="50" x14ac:dyDescent="0.35">
      <c r="A14" s="7" t="s">
        <v>92</v>
      </c>
      <c r="B14" s="12" t="s">
        <v>86</v>
      </c>
      <c r="C14" s="9" t="s">
        <v>93</v>
      </c>
      <c r="D14" s="10" t="s">
        <v>94</v>
      </c>
      <c r="E14" s="9" t="s">
        <v>95</v>
      </c>
      <c r="F14" s="9" t="s">
        <v>96</v>
      </c>
      <c r="G14" s="9" t="s">
        <v>97</v>
      </c>
      <c r="H14" s="11"/>
      <c r="I14" s="9"/>
    </row>
    <row r="15" spans="1:9" ht="75" x14ac:dyDescent="0.35">
      <c r="A15" s="7" t="s">
        <v>98</v>
      </c>
      <c r="B15" s="12" t="s">
        <v>86</v>
      </c>
      <c r="C15" s="9" t="s">
        <v>99</v>
      </c>
      <c r="D15" s="10" t="s">
        <v>100</v>
      </c>
      <c r="E15" s="9" t="s">
        <v>101</v>
      </c>
      <c r="F15" s="9" t="s">
        <v>102</v>
      </c>
      <c r="G15" s="9" t="s">
        <v>103</v>
      </c>
      <c r="H15" s="11"/>
      <c r="I15" s="9"/>
    </row>
    <row r="16" spans="1:9" ht="75" x14ac:dyDescent="0.35">
      <c r="A16" s="7" t="s">
        <v>104</v>
      </c>
      <c r="B16" s="12" t="s">
        <v>86</v>
      </c>
      <c r="C16" s="9" t="s">
        <v>105</v>
      </c>
      <c r="D16" s="10" t="s">
        <v>106</v>
      </c>
      <c r="E16" s="9" t="s">
        <v>107</v>
      </c>
      <c r="F16" s="9" t="s">
        <v>108</v>
      </c>
      <c r="G16" s="9" t="s">
        <v>109</v>
      </c>
      <c r="H16" s="11"/>
      <c r="I16" s="9"/>
    </row>
    <row r="17" spans="1:9" ht="62.5" x14ac:dyDescent="0.35">
      <c r="A17" s="7" t="s">
        <v>110</v>
      </c>
      <c r="B17" s="12" t="s">
        <v>86</v>
      </c>
      <c r="C17" s="9" t="s">
        <v>111</v>
      </c>
      <c r="D17" s="10" t="s">
        <v>112</v>
      </c>
      <c r="E17" s="9" t="s">
        <v>113</v>
      </c>
      <c r="F17" s="9" t="s">
        <v>114</v>
      </c>
      <c r="G17" s="9" t="s">
        <v>115</v>
      </c>
      <c r="H17" s="11"/>
      <c r="I17" s="9"/>
    </row>
    <row r="18" spans="1:9" ht="62.5" x14ac:dyDescent="0.35">
      <c r="A18" s="7" t="s">
        <v>116</v>
      </c>
      <c r="B18" s="12" t="s">
        <v>86</v>
      </c>
      <c r="C18" s="9" t="s">
        <v>111</v>
      </c>
      <c r="D18" s="10" t="s">
        <v>117</v>
      </c>
      <c r="E18" s="9" t="s">
        <v>118</v>
      </c>
      <c r="F18" s="9" t="s">
        <v>119</v>
      </c>
      <c r="G18" s="9" t="s">
        <v>120</v>
      </c>
      <c r="H18" s="11"/>
      <c r="I18" s="9"/>
    </row>
    <row r="19" spans="1:9" ht="62.5" x14ac:dyDescent="0.35">
      <c r="A19" s="7" t="s">
        <v>121</v>
      </c>
      <c r="B19" s="12" t="s">
        <v>86</v>
      </c>
      <c r="C19" s="9" t="s">
        <v>28</v>
      </c>
      <c r="D19" s="10" t="s">
        <v>122</v>
      </c>
      <c r="E19" s="9" t="s">
        <v>123</v>
      </c>
      <c r="F19" s="9" t="s">
        <v>124</v>
      </c>
      <c r="G19" s="9" t="s">
        <v>125</v>
      </c>
      <c r="H19" s="11"/>
      <c r="I19" s="9"/>
    </row>
    <row r="20" spans="1:9" ht="50" x14ac:dyDescent="0.35">
      <c r="A20" s="7" t="s">
        <v>126</v>
      </c>
      <c r="B20" s="12" t="s">
        <v>86</v>
      </c>
      <c r="C20" s="9" t="s">
        <v>28</v>
      </c>
      <c r="D20" s="10" t="s">
        <v>127</v>
      </c>
      <c r="E20" s="9" t="s">
        <v>128</v>
      </c>
      <c r="F20" s="9" t="s">
        <v>129</v>
      </c>
      <c r="G20" s="9" t="s">
        <v>130</v>
      </c>
      <c r="H20" s="11"/>
      <c r="I20" s="9"/>
    </row>
    <row r="21" spans="1:9" ht="62.5" x14ac:dyDescent="0.35">
      <c r="A21" s="7" t="s">
        <v>131</v>
      </c>
      <c r="B21" s="12" t="s">
        <v>86</v>
      </c>
      <c r="C21" s="9" t="s">
        <v>65</v>
      </c>
      <c r="D21" s="10" t="s">
        <v>132</v>
      </c>
      <c r="E21" s="9" t="s">
        <v>133</v>
      </c>
      <c r="F21" s="9" t="s">
        <v>134</v>
      </c>
      <c r="G21" s="9" t="s">
        <v>135</v>
      </c>
      <c r="H21" s="11"/>
      <c r="I21" s="9"/>
    </row>
    <row r="22" spans="1:9" ht="50" x14ac:dyDescent="0.35">
      <c r="A22" s="7" t="s">
        <v>136</v>
      </c>
      <c r="B22" s="12" t="s">
        <v>86</v>
      </c>
      <c r="C22" s="9" t="s">
        <v>28</v>
      </c>
      <c r="D22" s="10" t="s">
        <v>137</v>
      </c>
      <c r="E22" s="9" t="s">
        <v>138</v>
      </c>
      <c r="F22" s="9" t="s">
        <v>139</v>
      </c>
      <c r="G22" s="9" t="s">
        <v>140</v>
      </c>
      <c r="H22" s="11"/>
      <c r="I22" s="9"/>
    </row>
    <row r="23" spans="1:9" ht="62.5" x14ac:dyDescent="0.35">
      <c r="A23" s="7" t="s">
        <v>141</v>
      </c>
      <c r="B23" s="13" t="s">
        <v>142</v>
      </c>
      <c r="C23" s="9" t="s">
        <v>143</v>
      </c>
      <c r="D23" s="10" t="s">
        <v>144</v>
      </c>
      <c r="E23" s="9" t="s">
        <v>145</v>
      </c>
      <c r="F23" s="9" t="s">
        <v>146</v>
      </c>
      <c r="G23" s="9" t="s">
        <v>147</v>
      </c>
      <c r="H23" s="11"/>
      <c r="I23" s="9"/>
    </row>
    <row r="24" spans="1:9" ht="50" x14ac:dyDescent="0.35">
      <c r="A24" s="7" t="s">
        <v>148</v>
      </c>
      <c r="B24" s="13" t="s">
        <v>142</v>
      </c>
      <c r="C24" s="9" t="s">
        <v>28</v>
      </c>
      <c r="D24" s="10" t="s">
        <v>149</v>
      </c>
      <c r="E24" s="9" t="s">
        <v>150</v>
      </c>
      <c r="F24" s="9" t="s">
        <v>151</v>
      </c>
      <c r="G24" s="9" t="s">
        <v>152</v>
      </c>
      <c r="H24" s="11"/>
      <c r="I24" s="9"/>
    </row>
    <row r="25" spans="1:9" ht="37.5" x14ac:dyDescent="0.35">
      <c r="A25" s="7" t="s">
        <v>153</v>
      </c>
      <c r="B25" s="13" t="s">
        <v>142</v>
      </c>
      <c r="C25" s="9" t="s">
        <v>154</v>
      </c>
      <c r="D25" s="10" t="s">
        <v>155</v>
      </c>
      <c r="E25" s="9" t="s">
        <v>156</v>
      </c>
      <c r="F25" s="9" t="s">
        <v>157</v>
      </c>
      <c r="G25" s="9" t="s">
        <v>158</v>
      </c>
      <c r="H25" s="11"/>
      <c r="I25" s="9"/>
    </row>
    <row r="26" spans="1:9" ht="50" x14ac:dyDescent="0.35">
      <c r="A26" s="7" t="s">
        <v>159</v>
      </c>
      <c r="B26" s="13" t="s">
        <v>142</v>
      </c>
      <c r="C26" s="9" t="s">
        <v>28</v>
      </c>
      <c r="D26" s="10" t="s">
        <v>160</v>
      </c>
      <c r="E26" s="9" t="s">
        <v>161</v>
      </c>
      <c r="F26" s="9" t="s">
        <v>162</v>
      </c>
      <c r="G26" s="9" t="s">
        <v>163</v>
      </c>
      <c r="H26" s="11"/>
      <c r="I26" s="9"/>
    </row>
    <row r="27" spans="1:9" ht="62.5" x14ac:dyDescent="0.35">
      <c r="A27" s="7" t="s">
        <v>164</v>
      </c>
      <c r="B27" s="13" t="s">
        <v>142</v>
      </c>
      <c r="C27" s="9" t="s">
        <v>65</v>
      </c>
      <c r="D27" s="10" t="s">
        <v>165</v>
      </c>
      <c r="E27" s="9" t="s">
        <v>166</v>
      </c>
      <c r="F27" s="9" t="s">
        <v>167</v>
      </c>
      <c r="G27" s="9" t="s">
        <v>168</v>
      </c>
      <c r="H27" s="11"/>
      <c r="I27" s="9"/>
    </row>
    <row r="28" spans="1:9" ht="50" x14ac:dyDescent="0.35">
      <c r="A28" s="7" t="s">
        <v>169</v>
      </c>
      <c r="B28" s="13" t="s">
        <v>142</v>
      </c>
      <c r="C28" s="9" t="s">
        <v>170</v>
      </c>
      <c r="D28" s="10" t="s">
        <v>171</v>
      </c>
      <c r="E28" s="9" t="s">
        <v>172</v>
      </c>
      <c r="F28" s="9" t="s">
        <v>173</v>
      </c>
      <c r="G28" s="9" t="s">
        <v>174</v>
      </c>
      <c r="H28" s="11"/>
      <c r="I28" s="9"/>
    </row>
    <row r="29" spans="1:9" ht="50" x14ac:dyDescent="0.35">
      <c r="A29" s="7" t="s">
        <v>175</v>
      </c>
      <c r="B29" s="14" t="s">
        <v>176</v>
      </c>
      <c r="C29" s="9" t="s">
        <v>177</v>
      </c>
      <c r="D29" s="10" t="s">
        <v>178</v>
      </c>
      <c r="E29" s="9" t="s">
        <v>179</v>
      </c>
      <c r="F29" s="9" t="s">
        <v>180</v>
      </c>
      <c r="G29" s="9" t="s">
        <v>181</v>
      </c>
      <c r="H29" s="11"/>
      <c r="I29" s="9"/>
    </row>
    <row r="30" spans="1:9" ht="50" x14ac:dyDescent="0.35">
      <c r="A30" s="7" t="s">
        <v>182</v>
      </c>
      <c r="B30" s="14" t="s">
        <v>176</v>
      </c>
      <c r="C30" s="9" t="s">
        <v>28</v>
      </c>
      <c r="D30" s="10" t="s">
        <v>183</v>
      </c>
      <c r="E30" s="9" t="s">
        <v>184</v>
      </c>
      <c r="F30" s="9" t="s">
        <v>185</v>
      </c>
      <c r="G30" s="9" t="s">
        <v>186</v>
      </c>
      <c r="H30" s="11"/>
      <c r="I30" s="9"/>
    </row>
    <row r="31" spans="1:9" ht="62.5" x14ac:dyDescent="0.35">
      <c r="A31" s="7" t="s">
        <v>187</v>
      </c>
      <c r="B31" s="14" t="s">
        <v>176</v>
      </c>
      <c r="C31" s="9" t="s">
        <v>44</v>
      </c>
      <c r="D31" s="10" t="s">
        <v>188</v>
      </c>
      <c r="E31" s="9" t="s">
        <v>189</v>
      </c>
      <c r="F31" s="9" t="s">
        <v>190</v>
      </c>
      <c r="G31" s="9" t="s">
        <v>191</v>
      </c>
      <c r="H31" s="11"/>
      <c r="I31" s="9"/>
    </row>
    <row r="32" spans="1:9" ht="50" x14ac:dyDescent="0.35">
      <c r="A32" s="7" t="s">
        <v>192</v>
      </c>
      <c r="B32" s="14" t="s">
        <v>176</v>
      </c>
      <c r="C32" s="9" t="s">
        <v>111</v>
      </c>
      <c r="D32" s="10" t="s">
        <v>193</v>
      </c>
      <c r="E32" s="9" t="s">
        <v>194</v>
      </c>
      <c r="F32" s="9" t="s">
        <v>195</v>
      </c>
      <c r="G32" s="9" t="s">
        <v>196</v>
      </c>
      <c r="H32" s="11"/>
      <c r="I32" s="9"/>
    </row>
    <row r="33" spans="1:9" ht="50" x14ac:dyDescent="0.35">
      <c r="A33" s="7" t="s">
        <v>197</v>
      </c>
      <c r="B33" s="14" t="s">
        <v>176</v>
      </c>
      <c r="C33" s="9" t="s">
        <v>198</v>
      </c>
      <c r="D33" s="10" t="s">
        <v>199</v>
      </c>
      <c r="E33" s="9" t="s">
        <v>200</v>
      </c>
      <c r="F33" s="9" t="s">
        <v>201</v>
      </c>
      <c r="G33" s="9" t="s">
        <v>202</v>
      </c>
      <c r="H33" s="11"/>
      <c r="I33" s="9"/>
    </row>
    <row r="34" spans="1:9" ht="37.5" x14ac:dyDescent="0.35">
      <c r="A34" s="7" t="s">
        <v>203</v>
      </c>
      <c r="B34" s="14" t="s">
        <v>176</v>
      </c>
      <c r="C34" s="9" t="s">
        <v>204</v>
      </c>
      <c r="D34" s="10" t="s">
        <v>205</v>
      </c>
      <c r="E34" s="9" t="s">
        <v>206</v>
      </c>
      <c r="F34" s="9" t="s">
        <v>207</v>
      </c>
      <c r="G34" s="9" t="s">
        <v>208</v>
      </c>
      <c r="H34" s="11"/>
      <c r="I34" s="9"/>
    </row>
  </sheetData>
  <dataValidations count="1">
    <dataValidation type="list" allowBlank="1" sqref="H2:H34" xr:uid="{00000000-0002-0000-0100-000000000000}">
      <formula1>"PASS,FAIL,NA,IN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30" customWidth="1"/>
    <col min="4" max="4" width="34" customWidth="1"/>
    <col min="5" max="5" width="14" customWidth="1"/>
    <col min="6" max="6" width="64" customWidth="1"/>
    <col min="7" max="7" width="34" customWidth="1"/>
    <col min="8" max="8" width="14" customWidth="1"/>
  </cols>
  <sheetData>
    <row r="1" spans="1:8" ht="30" customHeight="1" x14ac:dyDescent="0.35">
      <c r="A1" s="6" t="s">
        <v>209</v>
      </c>
      <c r="B1" s="6" t="s">
        <v>210</v>
      </c>
      <c r="C1" s="6" t="s">
        <v>211</v>
      </c>
      <c r="D1" s="6" t="s">
        <v>212</v>
      </c>
      <c r="E1" s="6" t="s">
        <v>213</v>
      </c>
      <c r="F1" s="6" t="s">
        <v>214</v>
      </c>
      <c r="G1" s="6" t="s">
        <v>215</v>
      </c>
      <c r="H1" s="6" t="s">
        <v>216</v>
      </c>
    </row>
    <row r="2" spans="1:8" ht="62.5" x14ac:dyDescent="0.35">
      <c r="A2" s="7" t="s">
        <v>217</v>
      </c>
      <c r="B2" s="9" t="s">
        <v>49</v>
      </c>
      <c r="C2" s="10" t="s">
        <v>218</v>
      </c>
      <c r="D2" s="9" t="s">
        <v>219</v>
      </c>
      <c r="E2" s="8" t="s">
        <v>220</v>
      </c>
      <c r="F2" s="9" t="s">
        <v>221</v>
      </c>
      <c r="G2" s="9" t="s">
        <v>222</v>
      </c>
      <c r="H2" s="11"/>
    </row>
    <row r="3" spans="1:8" ht="37.5" x14ac:dyDescent="0.35">
      <c r="A3" s="7" t="s">
        <v>223</v>
      </c>
      <c r="B3" s="9" t="s">
        <v>224</v>
      </c>
      <c r="C3" s="10" t="s">
        <v>225</v>
      </c>
      <c r="D3" s="9" t="s">
        <v>226</v>
      </c>
      <c r="E3" s="8" t="s">
        <v>220</v>
      </c>
      <c r="F3" s="9" t="s">
        <v>227</v>
      </c>
      <c r="G3" s="9" t="s">
        <v>228</v>
      </c>
      <c r="H3" s="11"/>
    </row>
    <row r="4" spans="1:8" ht="37.5" x14ac:dyDescent="0.35">
      <c r="A4" s="7" t="s">
        <v>229</v>
      </c>
      <c r="B4" s="9" t="s">
        <v>230</v>
      </c>
      <c r="C4" s="10" t="s">
        <v>231</v>
      </c>
      <c r="D4" s="9" t="s">
        <v>232</v>
      </c>
      <c r="E4" s="13" t="s">
        <v>233</v>
      </c>
      <c r="F4" s="9" t="s">
        <v>234</v>
      </c>
      <c r="G4" s="9" t="s">
        <v>235</v>
      </c>
      <c r="H4" s="11"/>
    </row>
    <row r="5" spans="1:8" ht="50" x14ac:dyDescent="0.35">
      <c r="A5" s="7" t="s">
        <v>236</v>
      </c>
      <c r="B5" s="9" t="s">
        <v>59</v>
      </c>
      <c r="C5" s="10" t="s">
        <v>237</v>
      </c>
      <c r="D5" s="9" t="s">
        <v>238</v>
      </c>
      <c r="E5" s="8" t="s">
        <v>220</v>
      </c>
      <c r="F5" s="9" t="s">
        <v>239</v>
      </c>
      <c r="G5" s="9" t="s">
        <v>240</v>
      </c>
      <c r="H5" s="11"/>
    </row>
    <row r="6" spans="1:8" ht="37.5" x14ac:dyDescent="0.35">
      <c r="A6" s="7" t="s">
        <v>241</v>
      </c>
      <c r="B6" s="9" t="s">
        <v>80</v>
      </c>
      <c r="C6" s="10" t="s">
        <v>242</v>
      </c>
      <c r="D6" s="9" t="s">
        <v>243</v>
      </c>
      <c r="E6" s="8" t="s">
        <v>220</v>
      </c>
      <c r="F6" s="9" t="s">
        <v>244</v>
      </c>
      <c r="G6" s="9" t="s">
        <v>245</v>
      </c>
      <c r="H6" s="11"/>
    </row>
    <row r="7" spans="1:8" ht="50" x14ac:dyDescent="0.35">
      <c r="A7" s="7" t="s">
        <v>246</v>
      </c>
      <c r="B7" s="9" t="s">
        <v>247</v>
      </c>
      <c r="C7" s="10" t="s">
        <v>248</v>
      </c>
      <c r="D7" s="9" t="s">
        <v>249</v>
      </c>
      <c r="E7" s="8" t="s">
        <v>220</v>
      </c>
      <c r="F7" s="9" t="s">
        <v>250</v>
      </c>
      <c r="G7" s="9" t="s">
        <v>251</v>
      </c>
      <c r="H7" s="11"/>
    </row>
    <row r="8" spans="1:8" ht="37.5" x14ac:dyDescent="0.35">
      <c r="A8" s="7" t="s">
        <v>252</v>
      </c>
      <c r="B8" s="9" t="s">
        <v>54</v>
      </c>
      <c r="C8" s="10" t="s">
        <v>253</v>
      </c>
      <c r="D8" s="9" t="s">
        <v>254</v>
      </c>
      <c r="E8" s="8" t="s">
        <v>220</v>
      </c>
      <c r="F8" s="9" t="s">
        <v>255</v>
      </c>
      <c r="G8" s="9" t="s">
        <v>256</v>
      </c>
      <c r="H8" s="11"/>
    </row>
    <row r="9" spans="1:8" ht="37.5" x14ac:dyDescent="0.35">
      <c r="A9" s="7" t="s">
        <v>257</v>
      </c>
      <c r="B9" s="9" t="s">
        <v>98</v>
      </c>
      <c r="C9" s="10" t="s">
        <v>258</v>
      </c>
      <c r="D9" s="9" t="s">
        <v>259</v>
      </c>
      <c r="E9" s="8" t="s">
        <v>220</v>
      </c>
      <c r="F9" s="9" t="s">
        <v>260</v>
      </c>
      <c r="G9" s="9" t="s">
        <v>261</v>
      </c>
      <c r="H9" s="11"/>
    </row>
    <row r="10" spans="1:8" ht="37.5" x14ac:dyDescent="0.35">
      <c r="A10" s="7" t="s">
        <v>262</v>
      </c>
      <c r="B10" s="9" t="s">
        <v>38</v>
      </c>
      <c r="C10" s="10" t="s">
        <v>263</v>
      </c>
      <c r="D10" s="9" t="s">
        <v>264</v>
      </c>
      <c r="E10" s="8" t="s">
        <v>220</v>
      </c>
      <c r="F10" s="9" t="s">
        <v>265</v>
      </c>
      <c r="G10" s="9" t="s">
        <v>266</v>
      </c>
      <c r="H10" s="11"/>
    </row>
    <row r="11" spans="1:8" ht="37.5" x14ac:dyDescent="0.35">
      <c r="A11" s="7" t="s">
        <v>267</v>
      </c>
      <c r="B11" s="9" t="s">
        <v>136</v>
      </c>
      <c r="C11" s="10" t="s">
        <v>268</v>
      </c>
      <c r="D11" s="9" t="s">
        <v>269</v>
      </c>
      <c r="E11" s="8" t="s">
        <v>220</v>
      </c>
      <c r="F11" s="9" t="s">
        <v>270</v>
      </c>
      <c r="G11" s="9" t="s">
        <v>271</v>
      </c>
      <c r="H11" s="11"/>
    </row>
    <row r="12" spans="1:8" ht="26" x14ac:dyDescent="0.35">
      <c r="A12" s="7" t="s">
        <v>272</v>
      </c>
      <c r="B12" s="9" t="s">
        <v>110</v>
      </c>
      <c r="C12" s="10" t="s">
        <v>273</v>
      </c>
      <c r="D12" s="9" t="s">
        <v>274</v>
      </c>
      <c r="E12" s="8" t="s">
        <v>220</v>
      </c>
      <c r="F12" s="9" t="s">
        <v>275</v>
      </c>
      <c r="G12" s="9" t="s">
        <v>276</v>
      </c>
      <c r="H12" s="11"/>
    </row>
    <row r="13" spans="1:8" ht="28" x14ac:dyDescent="0.35">
      <c r="A13" s="7" t="s">
        <v>277</v>
      </c>
      <c r="B13" s="9" t="s">
        <v>141</v>
      </c>
      <c r="C13" s="10" t="s">
        <v>278</v>
      </c>
      <c r="D13" s="9" t="s">
        <v>279</v>
      </c>
      <c r="E13" s="13" t="s">
        <v>233</v>
      </c>
      <c r="F13" s="9" t="s">
        <v>280</v>
      </c>
      <c r="G13" s="9" t="s">
        <v>281</v>
      </c>
      <c r="H13" s="11"/>
    </row>
    <row r="14" spans="1:8" ht="37.5" x14ac:dyDescent="0.35">
      <c r="A14" s="7" t="s">
        <v>282</v>
      </c>
      <c r="B14" s="9" t="s">
        <v>85</v>
      </c>
      <c r="C14" s="10" t="s">
        <v>283</v>
      </c>
      <c r="D14" s="9" t="s">
        <v>284</v>
      </c>
      <c r="E14" s="13" t="s">
        <v>233</v>
      </c>
      <c r="F14" s="9" t="s">
        <v>285</v>
      </c>
      <c r="G14" s="9" t="s">
        <v>286</v>
      </c>
      <c r="H14" s="11"/>
    </row>
    <row r="15" spans="1:8" ht="37.5" x14ac:dyDescent="0.35">
      <c r="A15" s="7" t="s">
        <v>287</v>
      </c>
      <c r="B15" s="9" t="s">
        <v>104</v>
      </c>
      <c r="C15" s="10" t="s">
        <v>288</v>
      </c>
      <c r="D15" s="9" t="s">
        <v>289</v>
      </c>
      <c r="E15" s="13" t="s">
        <v>233</v>
      </c>
      <c r="F15" s="9" t="s">
        <v>290</v>
      </c>
      <c r="G15" s="9" t="s">
        <v>291</v>
      </c>
      <c r="H15" s="11"/>
    </row>
    <row r="16" spans="1:8" ht="37.5" x14ac:dyDescent="0.35">
      <c r="A16" s="7" t="s">
        <v>292</v>
      </c>
      <c r="B16" s="9" t="s">
        <v>92</v>
      </c>
      <c r="C16" s="10" t="s">
        <v>293</v>
      </c>
      <c r="D16" s="9" t="s">
        <v>294</v>
      </c>
      <c r="E16" s="8" t="s">
        <v>220</v>
      </c>
      <c r="F16" s="9" t="s">
        <v>295</v>
      </c>
      <c r="G16" s="9" t="s">
        <v>296</v>
      </c>
      <c r="H16" s="11"/>
    </row>
  </sheetData>
  <dataValidations count="1">
    <dataValidation type="list" allowBlank="1" sqref="H2:H16" xr:uid="{00000000-0002-0000-02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showGridLines="0" zoomScaleNormal="100" workbookViewId="0"/>
  </sheetViews>
  <sheetFormatPr defaultColWidth="8.6328125" defaultRowHeight="14.5" x14ac:dyDescent="0.35"/>
  <cols>
    <col min="1" max="1" width="34" customWidth="1"/>
    <col min="2" max="2" width="16" customWidth="1"/>
    <col min="3" max="3" width="55" customWidth="1"/>
  </cols>
  <sheetData>
    <row r="1" spans="1:3" ht="25.5" customHeight="1" x14ac:dyDescent="0.35">
      <c r="A1" s="2" t="s">
        <v>297</v>
      </c>
      <c r="B1" s="2"/>
      <c r="C1" s="2"/>
    </row>
    <row r="3" spans="1:3" x14ac:dyDescent="0.35">
      <c r="A3" s="6" t="s">
        <v>298</v>
      </c>
      <c r="B3" s="6" t="s">
        <v>299</v>
      </c>
      <c r="C3" s="6" t="s">
        <v>300</v>
      </c>
    </row>
    <row r="4" spans="1:3" x14ac:dyDescent="0.35">
      <c r="A4" s="15" t="s">
        <v>301</v>
      </c>
      <c r="B4" s="11">
        <f>COUNTA(Controls!A2:A34)</f>
        <v>33</v>
      </c>
      <c r="C4" s="16"/>
    </row>
    <row r="5" spans="1:3" x14ac:dyDescent="0.35">
      <c r="A5" s="15" t="s">
        <v>302</v>
      </c>
      <c r="B5" s="11">
        <f>COUNTIF(Controls!H2:H34,"PASS")</f>
        <v>0</v>
      </c>
      <c r="C5" s="16"/>
    </row>
    <row r="6" spans="1:3" x14ac:dyDescent="0.35">
      <c r="A6" s="15" t="s">
        <v>303</v>
      </c>
      <c r="B6" s="11">
        <f>COUNTIF(Controls!H2:H34,"FAIL")</f>
        <v>0</v>
      </c>
      <c r="C6" s="16" t="s">
        <v>304</v>
      </c>
    </row>
    <row r="7" spans="1:3" x14ac:dyDescent="0.35">
      <c r="A7" s="15" t="s">
        <v>305</v>
      </c>
      <c r="B7" s="11">
        <f>COUNTIF(Controls!H2:H34,"NA")</f>
        <v>0</v>
      </c>
      <c r="C7" s="16" t="s">
        <v>306</v>
      </c>
    </row>
    <row r="8" spans="1:3" x14ac:dyDescent="0.35">
      <c r="A8" s="15" t="s">
        <v>307</v>
      </c>
      <c r="B8" s="11">
        <f>COUNTBLANK(Controls!H2:H34)</f>
        <v>33</v>
      </c>
      <c r="C8" s="16"/>
    </row>
    <row r="9" spans="1:3" x14ac:dyDescent="0.35">
      <c r="A9" s="15" t="s">
        <v>308</v>
      </c>
      <c r="B9" s="11">
        <f>COUNTIFS(Controls!B2:B34,"P1",Controls!H2:H34,"FAIL")</f>
        <v>0</v>
      </c>
      <c r="C9" s="16" t="s">
        <v>309</v>
      </c>
    </row>
    <row r="10" spans="1:3" x14ac:dyDescent="0.35">
      <c r="A10" s="15" t="s">
        <v>310</v>
      </c>
      <c r="B10" s="11">
        <f>COUNTIFS(Controls!B2:B34,"P2",Controls!H2:H34,"FAIL")</f>
        <v>0</v>
      </c>
      <c r="C10" s="16"/>
    </row>
    <row r="11" spans="1:3" x14ac:dyDescent="0.35">
      <c r="A11" s="15" t="s">
        <v>311</v>
      </c>
      <c r="B11" s="17">
        <f>IFERROR(COUNTIF(Controls!H2:H34,"PASS")/(COUNTIF(Controls!H2:H34,"PASS")+COUNTIF(Controls!H2:H34,"FAIL")),0)</f>
        <v>0</v>
      </c>
      <c r="C11" s="16" t="s">
        <v>312</v>
      </c>
    </row>
    <row r="12" spans="1:3" x14ac:dyDescent="0.35">
      <c r="A12" s="15" t="s">
        <v>313</v>
      </c>
      <c r="B12" s="11">
        <f>COUNTIF(Alerts!H2:H16,"Y")</f>
        <v>0</v>
      </c>
      <c r="C12" s="16"/>
    </row>
    <row r="13" spans="1:3" x14ac:dyDescent="0.35">
      <c r="A13" s="15" t="s">
        <v>314</v>
      </c>
      <c r="B13" s="11">
        <f>COUNTIF(Alerts!H2:H16,"N")</f>
        <v>0</v>
      </c>
      <c r="C13" s="16" t="s">
        <v>315</v>
      </c>
    </row>
    <row r="14" spans="1:3" x14ac:dyDescent="0.35">
      <c r="A14" s="15" t="s">
        <v>316</v>
      </c>
      <c r="B14" s="11">
        <f>COUNTA(Alerts!A2:A16)</f>
        <v>15</v>
      </c>
      <c r="C14" s="16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2" width="38" customWidth="1"/>
    <col min="3" max="3" width="60" customWidth="1"/>
  </cols>
  <sheetData>
    <row r="1" spans="1:3" ht="25.5" customHeight="1" x14ac:dyDescent="0.35">
      <c r="A1" s="1" t="s">
        <v>317</v>
      </c>
      <c r="B1" s="1"/>
      <c r="C1" s="1"/>
    </row>
    <row r="3" spans="1:3" x14ac:dyDescent="0.35">
      <c r="A3" s="6" t="s">
        <v>318</v>
      </c>
      <c r="B3" s="6" t="s">
        <v>319</v>
      </c>
      <c r="C3" s="6" t="s">
        <v>320</v>
      </c>
    </row>
    <row r="4" spans="1:3" ht="33.75" customHeight="1" x14ac:dyDescent="0.35">
      <c r="A4" s="18" t="s">
        <v>321</v>
      </c>
      <c r="B4" s="19" t="s">
        <v>322</v>
      </c>
      <c r="C4" s="19" t="s">
        <v>323</v>
      </c>
    </row>
    <row r="5" spans="1:3" ht="33.75" customHeight="1" x14ac:dyDescent="0.35">
      <c r="A5" s="18" t="s">
        <v>324</v>
      </c>
      <c r="B5" s="19" t="s">
        <v>325</v>
      </c>
      <c r="C5" s="19" t="s">
        <v>326</v>
      </c>
    </row>
    <row r="6" spans="1:3" ht="33.75" customHeight="1" x14ac:dyDescent="0.35">
      <c r="A6" s="18" t="s">
        <v>327</v>
      </c>
      <c r="B6" s="19" t="s">
        <v>328</v>
      </c>
      <c r="C6" s="19" t="s">
        <v>329</v>
      </c>
    </row>
    <row r="7" spans="1:3" ht="33.75" customHeight="1" x14ac:dyDescent="0.35">
      <c r="A7" s="18" t="s">
        <v>330</v>
      </c>
      <c r="B7" s="19" t="s">
        <v>331</v>
      </c>
      <c r="C7" s="19" t="s">
        <v>332</v>
      </c>
    </row>
    <row r="8" spans="1:3" ht="33.75" customHeight="1" x14ac:dyDescent="0.35">
      <c r="A8" s="18" t="s">
        <v>333</v>
      </c>
      <c r="B8" s="19" t="s">
        <v>334</v>
      </c>
      <c r="C8" s="19" t="s">
        <v>335</v>
      </c>
    </row>
    <row r="9" spans="1:3" ht="33.75" customHeight="1" x14ac:dyDescent="0.35">
      <c r="A9" s="18" t="s">
        <v>336</v>
      </c>
      <c r="B9" s="19" t="s">
        <v>337</v>
      </c>
      <c r="C9" s="19" t="s">
        <v>338</v>
      </c>
    </row>
    <row r="10" spans="1:3" ht="33.75" customHeight="1" x14ac:dyDescent="0.35">
      <c r="A10" s="18" t="s">
        <v>339</v>
      </c>
      <c r="B10" s="19" t="s">
        <v>340</v>
      </c>
      <c r="C10" s="19" t="s">
        <v>341</v>
      </c>
    </row>
    <row r="11" spans="1:3" ht="33.75" customHeight="1" x14ac:dyDescent="0.35">
      <c r="A11" s="18" t="s">
        <v>342</v>
      </c>
      <c r="B11" s="19" t="s">
        <v>343</v>
      </c>
      <c r="C11" s="19" t="s">
        <v>344</v>
      </c>
    </row>
    <row r="12" spans="1:3" ht="33.75" customHeight="1" x14ac:dyDescent="0.35">
      <c r="A12" s="18" t="s">
        <v>345</v>
      </c>
      <c r="B12" s="19" t="s">
        <v>346</v>
      </c>
      <c r="C12" s="19" t="s">
        <v>347</v>
      </c>
    </row>
    <row r="13" spans="1:3" ht="33.75" customHeight="1" x14ac:dyDescent="0.35">
      <c r="A13" s="18" t="s">
        <v>348</v>
      </c>
      <c r="B13" s="19" t="s">
        <v>349</v>
      </c>
      <c r="C13" s="19" t="s">
        <v>350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showGridLines="0" zoomScaleNormal="100" workbookViewId="0"/>
  </sheetViews>
  <sheetFormatPr defaultColWidth="8.6328125" defaultRowHeight="14.5" x14ac:dyDescent="0.35"/>
  <cols>
    <col min="1" max="1" width="14" customWidth="1"/>
    <col min="2" max="2" width="26" customWidth="1"/>
    <col min="3" max="3" width="78" customWidth="1"/>
  </cols>
  <sheetData>
    <row r="1" spans="1:3" ht="25.5" customHeight="1" x14ac:dyDescent="0.35">
      <c r="A1" s="1" t="s">
        <v>351</v>
      </c>
      <c r="B1" s="1"/>
      <c r="C1" s="1"/>
    </row>
    <row r="3" spans="1:3" x14ac:dyDescent="0.35">
      <c r="A3" s="6" t="s">
        <v>18</v>
      </c>
      <c r="B3" s="6" t="s">
        <v>352</v>
      </c>
      <c r="C3" s="6" t="s">
        <v>353</v>
      </c>
    </row>
    <row r="4" spans="1:3" ht="63.75" customHeight="1" x14ac:dyDescent="0.35">
      <c r="A4" s="20" t="s">
        <v>27</v>
      </c>
      <c r="B4" s="21" t="s">
        <v>354</v>
      </c>
      <c r="C4" s="22" t="s">
        <v>355</v>
      </c>
    </row>
    <row r="5" spans="1:3" ht="63.75" customHeight="1" x14ac:dyDescent="0.35">
      <c r="A5" s="23" t="s">
        <v>86</v>
      </c>
      <c r="B5" s="21" t="s">
        <v>356</v>
      </c>
      <c r="C5" s="22" t="s">
        <v>357</v>
      </c>
    </row>
    <row r="6" spans="1:3" ht="63.75" customHeight="1" x14ac:dyDescent="0.35">
      <c r="A6" s="24" t="s">
        <v>142</v>
      </c>
      <c r="B6" s="21" t="s">
        <v>358</v>
      </c>
      <c r="C6" s="22" t="s">
        <v>359</v>
      </c>
    </row>
    <row r="7" spans="1:3" ht="63.75" customHeight="1" x14ac:dyDescent="0.35">
      <c r="A7" s="25" t="s">
        <v>176</v>
      </c>
      <c r="B7" s="21" t="s">
        <v>360</v>
      </c>
      <c r="C7" s="22" t="s">
        <v>361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C3E8F0C42B3544AEAEC3B7ECF0D88D" ma:contentTypeVersion="13" ma:contentTypeDescription="Create a new document." ma:contentTypeScope="" ma:versionID="3ba9d4a1758cd3f95eeb4ba44541ac27">
  <xsd:schema xmlns:xsd="http://www.w3.org/2001/XMLSchema" xmlns:xs="http://www.w3.org/2001/XMLSchema" xmlns:p="http://schemas.microsoft.com/office/2006/metadata/properties" xmlns:ns1="http://schemas.microsoft.com/sharepoint/v3" xmlns:ns2="d2b30fd0-78b6-429c-85d6-3cfb619528ae" xmlns:ns3="3b8283be-574f-43bf-8075-36ebad6911fb" targetNamespace="http://schemas.microsoft.com/office/2006/metadata/properties" ma:root="true" ma:fieldsID="9246614203e691787069f6b1f7494767" ns1:_="" ns2:_="" ns3:_="">
    <xsd:import namespace="http://schemas.microsoft.com/sharepoint/v3"/>
    <xsd:import namespace="d2b30fd0-78b6-429c-85d6-3cfb619528ae"/>
    <xsd:import namespace="3b8283be-574f-43bf-8075-36ebad6911f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30fd0-78b6-429c-85d6-3cfb619528a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9656ed0e-c748-42af-855b-1d74cb6a6f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283be-574f-43bf-8075-36ebad6911f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e0502b6-9296-4862-a98c-93ee9051f35c}" ma:internalName="TaxCatchAll" ma:showField="CatchAllData" ma:web="3b8283be-574f-43bf-8075-36ebad6911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b30fd0-78b6-429c-85d6-3cfb619528ae">
      <Terms xmlns="http://schemas.microsoft.com/office/infopath/2007/PartnerControls"/>
    </lcf76f155ced4ddcb4097134ff3c332f>
    <_ip_UnifiedCompliancePolicyUIAction xmlns="http://schemas.microsoft.com/sharepoint/v3" xsi:nil="true"/>
    <TaxCatchAll xmlns="3b8283be-574f-43bf-8075-36ebad6911fb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1F9D027-11B6-410B-857E-565C185C1C62}"/>
</file>

<file path=customXml/itemProps2.xml><?xml version="1.0" encoding="utf-8"?>
<ds:datastoreItem xmlns:ds="http://schemas.openxmlformats.org/officeDocument/2006/customXml" ds:itemID="{C73D1DBD-6A7F-441F-96D2-664A078D9770}"/>
</file>

<file path=customXml/itemProps3.xml><?xml version="1.0" encoding="utf-8"?>
<ds:datastoreItem xmlns:ds="http://schemas.openxmlformats.org/officeDocument/2006/customXml" ds:itemID="{6D2043C0-5523-4C88-92B9-7EB5D8A119C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Controls</vt:lpstr>
      <vt:lpstr>Alerts</vt:lpstr>
      <vt:lpstr>Scorecard</vt:lpstr>
      <vt:lpstr>Portal Map</vt:lpstr>
      <vt:lpstr>Priority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Bruns</cp:lastModifiedBy>
  <cp:revision>0</cp:revision>
  <dcterms:created xsi:type="dcterms:W3CDTF">2026-05-29T18:52:58Z</dcterms:created>
  <dcterms:modified xsi:type="dcterms:W3CDTF">2026-05-29T19:47:39Z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2026-05-29T19:47:24Z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76671b02-33d5-4c55-815a-9cb83f6091a8</vt:lpwstr>
  </property>
  <property fmtid="{D5CDD505-2E9C-101B-9397-08002B2CF9AE}" pid="7" name="MSIP_Label_defa4170-0d19-0005-0004-bc88714345d2_ActionId">
    <vt:lpwstr>90a6daed-3228-469e-ab2f-af4d3761d2fb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0x010100DCC3E8F0C42B3544AEAEC3B7ECF0D88D</vt:lpwstr>
  </property>
</Properties>
</file>