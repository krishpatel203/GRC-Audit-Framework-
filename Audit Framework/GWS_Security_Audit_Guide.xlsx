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ntrols" sheetId="2" r:id="rId5"/>
    <sheet state="visible" name="Alerts" sheetId="3" r:id="rId6"/>
    <sheet state="visible" name="Scorecard" sheetId="4" r:id="rId7"/>
    <sheet state="visible" name="Priority Key" sheetId="5" r:id="rId8"/>
  </sheets>
  <definedNames/>
  <calcPr/>
  <extLst>
    <ext uri="GoogleSheetsCustomDataVersion2">
      <go:sheetsCustomData xmlns:go="http://customooxmlschemas.google.com/" r:id="rId9" roundtripDataChecksum="bVd0hkgb42yKv10Bic9LDMwn+fosr0HA6uq3L2cSeCg="/>
    </ext>
  </extLst>
</workbook>
</file>

<file path=xl/sharedStrings.xml><?xml version="1.0" encoding="utf-8"?>
<sst xmlns="http://schemas.openxmlformats.org/spreadsheetml/2006/main" count="327" uniqueCount="273">
  <si>
    <t>Google Workspace Security Configuration Audit Guide</t>
  </si>
  <si>
    <t>How to use this guide</t>
  </si>
  <si>
    <t>Purpose</t>
  </si>
  <si>
    <t>Baseline of security configurations for a Google Workspace tenant, ordered by impact on stopping a cyber attack. As the GRC analyst you validate each control using the exact steps in the Controls tab, record PASS/FAIL, and confirm the matching detection alert exists per the Alerts tab.</t>
  </si>
  <si>
    <t>Tabs</t>
  </si>
  <si>
    <t>1) Controls  2) Alerts  3) Scorecard  4) Priority Key. Work top-to-bottom in Controls; P1 items first.</t>
  </si>
  <si>
    <t>Console basis</t>
  </si>
  <si>
    <t>Steps written for admin.google.com (Admin Console). "Admin Console &gt;" denotes the left-nav path. Requires Super Admin or a role with the relevant read privileges to assess.</t>
  </si>
  <si>
    <t>Editions</t>
  </si>
  <si>
    <t>Some controls (Context-Aware Access, DLP, advanced alerts, log export, security investigation tool) require Enterprise/Education Plus or Frontline. Where edition-gated, the control notes it. If unavailable, mark "N/A - edition".</t>
  </si>
  <si>
    <t>Evidence</t>
  </si>
  <si>
    <t>For each control capture: screenshot of the setting, the OU/group scope it applies to, who validated, and date. Store in your evidence repository and link in the Scorecard.</t>
  </si>
  <si>
    <t>Validation cadence</t>
  </si>
  <si>
    <t>P1 = monthly, P2 = quarterly, P3/P4 = semi-annual, plus on every major admin/config change.</t>
  </si>
  <si>
    <t>Scope note</t>
  </si>
  <si>
    <t>Apply settings at the top-level OU and verify no child OU or group override weakens them. Always check "Inheritance" / overrides when validating.</t>
  </si>
  <si>
    <t>ID</t>
  </si>
  <si>
    <t>Priority</t>
  </si>
  <si>
    <t>Domain</t>
  </si>
  <si>
    <t>Control / Baseline Setting</t>
  </si>
  <si>
    <t>Why it stops an attack</t>
  </si>
  <si>
    <t>Validation Steps (Admin Console)</t>
  </si>
  <si>
    <t>Expected Baseline State</t>
  </si>
  <si>
    <t>Result (PASS/FAIL/NA)</t>
  </si>
  <si>
    <t>Evidence Ref</t>
  </si>
  <si>
    <t>AC-01</t>
  </si>
  <si>
    <t>P1</t>
  </si>
  <si>
    <t>Authentication</t>
  </si>
  <si>
    <t>Enforce 2-Step Verification (MFA) for all users</t>
  </si>
  <si>
    <t>Stops credential-based account takeover, the #1 initial-access vector. Phishing/password spray fail without the second factor.</t>
  </si>
  <si>
    <t>1) Admin Console &gt; Security &gt; Authentication &gt; 2-Step Verification.
2) Confirm "Allow users to turn on 2-Step Verification" is ON.
3) Confirm Enforcement = "On" (not "On from date" pending) for the top OU.
4) Set Methods = "Only security key" or "Any except verification codes via text/call".
5) Check each OU/group for override that sets Enforcement = Off.
6) Reports &gt; Audit &gt; User accounts: filter users with 2SV not enrolled.</t>
  </si>
  <si>
    <t>Enforcement ON for all OUs; weak methods (SMS/voice) disallowed; 0 unenrolled active users.</t>
  </si>
  <si>
    <t>AC-02</t>
  </si>
  <si>
    <t>Require phishing-resistant MFA (security keys / passkeys) for admins</t>
  </si>
  <si>
    <t>Admin compromise = full tenant compromise. Hardware keys/passkeys defeat real-time phishing and MFA-fatigue attacks.</t>
  </si>
  <si>
    <t>1) Security &gt; Authentication &gt; 2-Step Verification.
2) Place all admins in an "Admins" OU/group.
3) Set that group Methods = "Only security key (includes passkeys)".
4) Verify each admin has &gt;=1 security key/passkey enrolled (user &gt; Security).
5) Confirm no admin relies on SMS or Google prompt only.</t>
  </si>
  <si>
    <t>All admin accounts on security key/passkey only; SMS disabled for admins.</t>
  </si>
  <si>
    <t>AC-03</t>
  </si>
  <si>
    <t>Admin</t>
  </si>
  <si>
    <t>Minimize and inventory Super Admins</t>
  </si>
  <si>
    <t>Super Admins bypass nearly all controls. Fewer, monitored super admins shrink the blast radius of a takeover.</t>
  </si>
  <si>
    <t>1) Admin Console &gt; Account &gt; Admin roles &gt; Super Admin &gt; Admins.
2) Count members; confirm &lt;= 4 and each is a named, justified person.
3) Verify no service/shared accounts hold Super Admin.
4) Confirm a break-glass super admin exists, is excluded from SSO, stored offline, and MFA-protected.
5) Cross-check against HR/role list.</t>
  </si>
  <si>
    <t>&lt;=4 super admins, all named &amp; justified; 1 documented break-glass account; no shared accounts.</t>
  </si>
  <si>
    <t>AC-04</t>
  </si>
  <si>
    <t>Use delegated/least-privilege admin roles</t>
  </si>
  <si>
    <t>Limits what a compromised admin can do; supports separation of duties and reduces standing privilege.</t>
  </si>
  <si>
    <t>1) Account &gt; Admin roles.
2) Review each custom role privilege set; confirm scoped to job function.
3) Verify help-desk/user-mgmt staff are NOT Super Admins.
4) Check role assignments are to individuals (or tight groups), scoped by OU where possible.</t>
  </si>
  <si>
    <t>No over-privileged assignments; delegated roles map to job functions; OU-scoped where feasible.</t>
  </si>
  <si>
    <t>AC-05</t>
  </si>
  <si>
    <t>Apps/Access</t>
  </si>
  <si>
    <t>Restrict third-party app &amp; OAuth access (API controls)</t>
  </si>
  <si>
    <t>Malicious or over-scoped OAuth apps exfiltrate mail/drive without a password and survive password resets. Major data-theft vector.</t>
  </si>
  <si>
    <t>1) Security &gt; Access and data control &gt; API controls.
2) Set "Unconfigured third-party apps" = Block (or Limited).
3) Review "App access control": restrict apps requesting Restricted scopes (Gmail, Drive) to Trusted only.
4) Confirm "Trust internal apps" reviewed; remove unknown trusted apps.
5) Disable "Allow users to install/run apps from Marketplace" except allowlisted.
6) Reports/Token audit: review existing high-scope grants.</t>
  </si>
  <si>
    <t>Unconfigured apps blocked; Restricted-scope access = Trusted apps only; Marketplace installs allowlisted.</t>
  </si>
  <si>
    <t>AC-06</t>
  </si>
  <si>
    <t>Email</t>
  </si>
  <si>
    <t>Enable Gmail advanced phishing &amp; malware protection</t>
  </si>
  <si>
    <t>Email is the dominant delivery channel for phishing and malware. These toggles block spoofing, bad attachments, and risky links.</t>
  </si>
  <si>
    <t>1) Apps &gt; Google Workspace &gt; Gmail &gt; Safety.
2) Enable ALL: attachments protection (encrypted, scripts, anomalous), links &amp; external images protection, spoofing &amp; authentication (all sub-options).
3) Set actions to "Move to spam"/quarantine, not just warn, where supported.
4) Verify applied to top OU with no weakening overrides.</t>
  </si>
  <si>
    <t>All Safety protections ON; risky items quarantined; applied org-wide.</t>
  </si>
  <si>
    <t>AC-07</t>
  </si>
  <si>
    <t>Enforce SPF, DKIM, and DMARC</t>
  </si>
  <si>
    <t>Prevents attackers spoofing your domain to phish staff/partners and improves inbound spoof rejection.</t>
  </si>
  <si>
    <t>1) DKIM: Apps &gt; Gmail &gt; Authenticate email — confirm DKIM "Authenticating" for each domain (2048-bit).
2) SPF: verify DNS TXT includes "include:_spf.google.com -all".
3) DMARC: verify DNS _dmarc TXT exists with p=reject (or p=quarantine min) and rua reporting.
4) Confirm no domains left unsigned.</t>
  </si>
  <si>
    <t>DKIM authenticating, SPF hard-fail (-all), DMARC p=reject with reporting on all domains.</t>
  </si>
  <si>
    <t>AC-08</t>
  </si>
  <si>
    <t>Access</t>
  </si>
  <si>
    <t>Disable / restrict less secure &amp; legacy auth</t>
  </si>
  <si>
    <t>Legacy protocols (IMAP/POP, basic auth) bypass MFA and are abused in password-spray attacks.</t>
  </si>
  <si>
    <t>1) Apps &gt; Gmail &gt; End User Access: review POP/IMAP — disable if not required.
2) Security &gt; less secure apps / "Google session control" for legacy.
3) Confirm IMAP access is OAuth-only where enabled.</t>
  </si>
  <si>
    <t>Legacy/basic auth disabled; POP/IMAP off unless justified and OAuth-gated.</t>
  </si>
  <si>
    <t>AC-09</t>
  </si>
  <si>
    <t>P2</t>
  </si>
  <si>
    <t>Configure Context-Aware Access (CAA) [Ent/Edu+]</t>
  </si>
  <si>
    <t>Restricts access by device posture, IP, geo — blocks logins from unmanaged devices or anomalous locations even with valid creds.</t>
  </si>
  <si>
    <t>1) Security &gt; Access and data control &gt; Context-Aware Access.
2) Confirm "Turn on" enabled.
3) Verify access levels exist (e.g., corp IP ranges, company-owned/encrypted device) and are assigned to Gmail/Drive/Admin Console.
4) Test that a non-compliant context is denied.</t>
  </si>
  <si>
    <t>CAA enabled; access levels bound to sensitive apps; non-compliant access denied. (Edition-gated)</t>
  </si>
  <si>
    <t>AC-10</t>
  </si>
  <si>
    <t>Devices</t>
  </si>
  <si>
    <t>Require Endpoint/Mobile Device Management</t>
  </si>
  <si>
    <t>Ensures only screen-locked, encrypted, wipe-capable devices reach corporate data; enables remote wipe on loss/theft.</t>
  </si>
  <si>
    <t>1) Devices &gt; Mobile &amp; endpoints &gt; Settings &gt; Universal/Advanced.
2) Enable mobile management (Basic min, Advanced preferred).
3) Require screen lock, min password, encryption; allow remote wipe.
4) Devices &gt; Endpoints: confirm endpoint verification enabled for desktops.
5) Review device list for unmanaged/jailbroken devices.</t>
  </si>
  <si>
    <t>Device management enforced; screen-lock+encryption required; wipe enabled; no rogue devices.</t>
  </si>
  <si>
    <t>AC-11</t>
  </si>
  <si>
    <t>Sharing</t>
  </si>
  <si>
    <t>Restrict external Drive sharing &amp; link settings</t>
  </si>
  <si>
    <t>Limits accidental/malicious data exfiltration via over-broad sharing links and external sharing.</t>
  </si>
  <si>
    <t>1) Apps &gt; Drive and Docs &gt; Sharing settings.
2) Set external sharing to "Allowlisted domains" or Off (not "On").
3) Default link sharing = "Restricted" (off), not "Anyone with link".
4) Disable sharing to non-Google accounts unless required.
5) Require warning on external share.</t>
  </si>
  <si>
    <t>External sharing allowlisted/off; default link = Restricted; external-account sharing limited.</t>
  </si>
  <si>
    <t>AC-12</t>
  </si>
  <si>
    <t>Lock down email routing &amp; external forwarding</t>
  </si>
  <si>
    <t>Auto-forward rules are a classic persistence/exfiltration mechanism after account compromise (BEC).</t>
  </si>
  <si>
    <t>1) Apps &gt; Gmail &gt; End User Access: set "Automatic forwarding" = Disabled (uncheck allow).
2) Apps &gt; Gmail &gt; Routing: review/remove unexpected routing, dual-delivery, and content-compliance rules.
3) Check for org-level forwarding to external domains.</t>
  </si>
  <si>
    <t>User auto-forwarding disabled; no unauthorized routing/forwarding rules.</t>
  </si>
  <si>
    <t>AC-13</t>
  </si>
  <si>
    <t>Configure inbound/outbound gateways &amp; attachment compliance</t>
  </si>
  <si>
    <t>Adds quarantine and content rules to catch malware and data leakage that default filters miss.</t>
  </si>
  <si>
    <t>1) Apps &gt; Gmail &gt; Compliance: confirm attachment compliance rules quarantine executables/macros.
2) Verify quarantine ranges defined (Apps &gt; Gmail &gt; Manage quarantines).
3) Confirm objectionable-content / DLP-lite rules exist for outbound.</t>
  </si>
  <si>
    <t>Attachment &amp; content rules active with quarantine; reviewed regularly.</t>
  </si>
  <si>
    <t>AC-14</t>
  </si>
  <si>
    <t>Data</t>
  </si>
  <si>
    <t>Enable DLP for Drive and Gmail [Ent/Edu+]</t>
  </si>
  <si>
    <t>Detects and blocks exfiltration of regulated data (PII, secrets) before it leaves the org.</t>
  </si>
  <si>
    <t>1) Security &gt; Access and data control &gt; Data protection.
2) Confirm DLP rules exist for Drive (sharing) and Gmail (sending) on sensitive detectors (SSN, cards, keys).
3) Verify action = Block/Warn and alerting enabled.
4) Test with a sample rule.</t>
  </si>
  <si>
    <t>DLP rules active for Drive+Gmail with block/alert on sensitive data. (Edition-gated)</t>
  </si>
  <si>
    <t>AC-15</t>
  </si>
  <si>
    <t>Recovery</t>
  </si>
  <si>
    <t>Disable self-service account recovery for admins; verify recovery options</t>
  </si>
  <si>
    <t>Self-service recovery via phone/email is a social-engineering bypass of MFA, especially dangerous for admins.</t>
  </si>
  <si>
    <t>1) Security &gt; Authentication &gt; Account recovery.
2) Set "Allow super admins / admins to recover" appropriately; disable self-recovery for admins.
3) Confirm user recovery options reviewed; remove stale recovery phone/email.</t>
  </si>
  <si>
    <t>Admin self-recovery disabled; recovery handled by another super admin; stale recovery info removed.</t>
  </si>
  <si>
    <t>AC-16</t>
  </si>
  <si>
    <t>Session</t>
  </si>
  <si>
    <t>Enforce session length &amp; re-authentication</t>
  </si>
  <si>
    <t>Short web/session lifetimes reduce window for hijacked sessions and stolen cookies.</t>
  </si>
  <si>
    <t>1) Security &gt; Access and data control &gt; Google session control: set web session to &lt;= 8-24h with re-auth.
2) Security &gt; Google Cloud session control for admin actions if applicable.
3) Confirm "remember device" not indefinite.</t>
  </si>
  <si>
    <t>Session duration capped (&lt;=24h) with re-authentication; no indefinite trust.</t>
  </si>
  <si>
    <t>AC-17</t>
  </si>
  <si>
    <t>P3</t>
  </si>
  <si>
    <t>Logging</t>
  </si>
  <si>
    <t>Enable log export to BigQuery/SIEM [Ent/Edu+]</t>
  </si>
  <si>
    <t>Centralized, retained logs enable detection, investigation, and meet retention requirements beyond the console default.</t>
  </si>
  <si>
    <t>1) Reporting / Admin Console &gt; Reporting &gt; BigQuery Export (or use Audit &amp; investigation).
2) Confirm Gmail, Login, Admin, Drive, Token, OAuth logs export to SIEM/BigQuery.
3) Verify retention &gt;= policy (e.g., 1 year).</t>
  </si>
  <si>
    <t>Key audit logs exported &amp; retained per policy. (Edition-gated)</t>
  </si>
  <si>
    <t>AC-18</t>
  </si>
  <si>
    <t>Apps</t>
  </si>
  <si>
    <t>Disable unneeded Workspace &amp; third-party services</t>
  </si>
  <si>
    <t>Every enabled service is attack surface. Turning off unused apps reduces exposure and shadow data.</t>
  </si>
  <si>
    <t>1) Apps &gt; Google Workspace &gt; review service status per OU.
2) Disable services not in use (e.g., Currents, Sites, Groups for Business if unused).
3) Apps &gt; Additional Google services: disable consumer services not required.</t>
  </si>
  <si>
    <t>Only required services enabled; unused/consumer services disabled.</t>
  </si>
  <si>
    <t>AC-19</t>
  </si>
  <si>
    <t>Groups</t>
  </si>
  <si>
    <t>Harden Google Groups access settings</t>
  </si>
  <si>
    <t>Open groups can leak internal info and allow external posting/joining used for phishing and recon.</t>
  </si>
  <si>
    <t>1) Apps &gt; Groups for Business &gt; Sharing settings.
2) Set "Default for groups" = Private; disallow external members by default.
3) Disallow "Anyone on the web" posting/joining.</t>
  </si>
  <si>
    <t>Groups default Private; no external members/posting unless explicitly justified.</t>
  </si>
  <si>
    <t>AC-20</t>
  </si>
  <si>
    <t>Calendar</t>
  </si>
  <si>
    <t>Restrict external calendar sharing</t>
  </si>
  <si>
    <t>Over-shared calendars expose org schedules, attendees, and locations useful for targeted attacks.</t>
  </si>
  <si>
    <t>1) Apps &gt; Calendar &gt; Sharing settings.
2) External sharing = "Only free/busy" (not full details).</t>
  </si>
  <si>
    <t>External calendar sharing limited to free/busy.</t>
  </si>
  <si>
    <t>AC-21</t>
  </si>
  <si>
    <t>Drive</t>
  </si>
  <si>
    <t>Disable downloading/printing on shared sensitive docs where feasible</t>
  </si>
  <si>
    <t>Reduces exfiltration of sensitive content via IRM/info-rights controls.</t>
  </si>
  <si>
    <t>1) Drive and Docs &gt; Sharing settings: review "Distribute content outside the domain".
2) Where applicable enable IRM (disable download/print/copy for commenters/viewers).</t>
  </si>
  <si>
    <t>IRM applied to sensitive content; external distribution controlled.</t>
  </si>
  <si>
    <t>AC-22</t>
  </si>
  <si>
    <t>P4</t>
  </si>
  <si>
    <t>Lifecycle</t>
  </si>
  <si>
    <t>Suspend/offboard inactive &amp; departed users promptly</t>
  </si>
  <si>
    <t>Dormant accounts are unmonitored footholds. Timely suspension closes them.</t>
  </si>
  <si>
    <t>1) Directory &gt; Users: sort by Last sign-in.
2) Identify accounts inactive &gt; policy threshold (e.g., 30-45 days) and departed staff.
3) Confirm offboarding process suspends, resets, and revokes tokens.</t>
  </si>
  <si>
    <t>No active accounts for departed staff; inactive accounts reviewed/suspended per policy.</t>
  </si>
  <si>
    <t>AC-23</t>
  </si>
  <si>
    <t>Password</t>
  </si>
  <si>
    <t>Set strong password policy (where passwords used)</t>
  </si>
  <si>
    <t>Backstops MFA; raises cost of credential guessing for any password-based auth path.</t>
  </si>
  <si>
    <t>1) Security &gt; Authentication &gt; Password management.
2) Min length &gt;= 12, enforce on next sign-in, reuse blocked, "Enforce at next sign-in" ON.
3) Enable "weak password" detection/alert.</t>
  </si>
  <si>
    <t>Min length &gt;=12, reuse blocked, enforcement on next sign-in.</t>
  </si>
  <si>
    <t>AC-24</t>
  </si>
  <si>
    <t>Restrict admin console access &amp; enable admin action visibility</t>
  </si>
  <si>
    <t>Limits and surfaces privileged activity for review.</t>
  </si>
  <si>
    <t>1) Confirm only admins can reach Admin Console (role-gated).
2) Reports &gt; Audit &gt; Admin log events: confirm populated and reviewed.
3) Consider CAA level on Admin Console (see AC-09).</t>
  </si>
  <si>
    <t>Admin Console access role-gated; admin audit log reviewed regularly.</t>
  </si>
  <si>
    <t>AC-25</t>
  </si>
  <si>
    <t>Verify data region &amp; retention/Vault policies</t>
  </si>
  <si>
    <t>Ensures legal hold, retention, and residency controls are active for investigations and compliance.</t>
  </si>
  <si>
    <t>1) If licensed, Vault &gt; Retention: confirm rules for Mail/Drive/Chat.
2) Account &gt; Data regions policy set if required.</t>
  </si>
  <si>
    <t>Vault retention/holds configured; data region set per policy. (Vault edition-gated)</t>
  </si>
  <si>
    <t>Alert ID</t>
  </si>
  <si>
    <t>Linked Control</t>
  </si>
  <si>
    <t>Alert Name</t>
  </si>
  <si>
    <t>Trigger / Condition</t>
  </si>
  <si>
    <t>Type</t>
  </si>
  <si>
    <t>How to Create the Alert (Admin Console)</t>
  </si>
  <si>
    <t>Recommended Action on Fire</t>
  </si>
  <si>
    <t>Configured? (Y/N)</t>
  </si>
  <si>
    <t>AL-01</t>
  </si>
  <si>
    <t>New admin privilege granted</t>
  </si>
  <si>
    <t>A user is granted any admin role / new Super Admin created</t>
  </si>
  <si>
    <t>Incident</t>
  </si>
  <si>
    <t>1) Security &gt; Alert center &gt; Rules (or Reporting &gt; Rules).
2) Create activity rule on Admin log: event = "Assign role"/"Grant admin privilege".
3) Or enable system alert "Suspicious login" + custom rule on ASSIGN_ROLE.
4) Set notify = security DL + Alert center.</t>
  </si>
  <si>
    <t>Verify the grant was authorized via change ticket; revoke if not; rotate creds of granter.</t>
  </si>
  <si>
    <t>AL-02</t>
  </si>
  <si>
    <t>AC-01/02</t>
  </si>
  <si>
    <t>MFA / 2SV enforcement disabled</t>
  </si>
  <si>
    <t>2-Step Verification enforcement turned off for an OU/org or method weakened</t>
  </si>
  <si>
    <t>Baseline Divergence</t>
  </si>
  <si>
    <t>1) Reporting &gt; Rules &gt; Create rule on Admin log.
2) Event filter: setting change where name contains "2-Step Verification" / "Enforcement".
3) Notify security DL immediately; severity High.</t>
  </si>
  <si>
    <t>Treat as P1 divergence: re-enable enforcement, confirm who/why, check for concurrent account abuse.</t>
  </si>
  <si>
    <t>AL-03</t>
  </si>
  <si>
    <t>High-risk OAuth token grant</t>
  </si>
  <si>
    <t>User grants OAuth app access to Restricted scopes (Gmail/Drive)</t>
  </si>
  <si>
    <t>1) Security &gt; Alert center: ensure "Suspicious OAuth"/3P access alerts on.
2) Reporting &gt; Rules on Token log: scope contains gmail/drive AND app not trusted.
3) Notify security DL.</t>
  </si>
  <si>
    <t>Review app reputation; revoke token (API controls &gt; app access); block app domain-wide if malicious.</t>
  </si>
  <si>
    <t>AL-04</t>
  </si>
  <si>
    <t>Phishing/malware message detected</t>
  </si>
  <si>
    <t>Gmail detects phishing or malware delivered/quarantined</t>
  </si>
  <si>
    <t>1) Admin &gt; Alert center: confirm system alerts "Malware", "Phishing", "Suspicious message" are ENABLED.
2) Set notification recipients.</t>
  </si>
  <si>
    <t>Investigate via Security investigation tool; bulk-delete/quarantine; check recipient interaction.</t>
  </si>
  <si>
    <t>AL-05</t>
  </si>
  <si>
    <t>New external auto-forwarding rule</t>
  </si>
  <si>
    <t>User creates email forwarding/filter to external address</t>
  </si>
  <si>
    <t>1) Reporting &gt; Rules on Gmail/User settings log: event = email forwarding enabled to external domain.
2) Or use system alert for "User-reported"/settings change.
3) Notify security DL.</t>
  </si>
  <si>
    <t>Classic BEC indicator: disable rule, force password reset + token revoke, investigate mailbox.</t>
  </si>
  <si>
    <t>AL-06</t>
  </si>
  <si>
    <t>AC-05/18</t>
  </si>
  <si>
    <t>App access / service status changed</t>
  </si>
  <si>
    <t>A Workspace service or app trust setting is enabled/changed</t>
  </si>
  <si>
    <t>1) Reporting &gt; Rules on Admin log: event = "Change application setting"/"Toggle service status".
2) Notify security DL.</t>
  </si>
  <si>
    <t>Confirm change ticket; revert if unauthorized.</t>
  </si>
  <si>
    <t>AL-07</t>
  </si>
  <si>
    <t>External sharing policy changed</t>
  </si>
  <si>
    <t>Drive external sharing setting loosened</t>
  </si>
  <si>
    <t>1) Reporting &gt; Rules on Admin log: setting change name contains "Drive"/"Sharing".
2) Severity High.</t>
  </si>
  <si>
    <t>Revert to baseline; audit recently externally-shared files.</t>
  </si>
  <si>
    <t>AL-08</t>
  </si>
  <si>
    <t>Suspended account re-activated / dormant login</t>
  </si>
  <si>
    <t>A suspended account is restored, or login from long-dormant account</t>
  </si>
  <si>
    <t>1) Reporting &gt; Rules on Admin log event "Restore user"; and Login audit rule for first login after long inactivity.
2) Notify security DL.</t>
  </si>
  <si>
    <t>Confirm authorized re-activation; if unexpected, re-suspend and investigate.</t>
  </si>
  <si>
    <t>AL-09</t>
  </si>
  <si>
    <t>Login from new/anomalous location or device</t>
  </si>
  <si>
    <t>Google's suspicious-login / leaked-password signals fire</t>
  </si>
  <si>
    <t>1) Alert center: enable "Suspicious login", "Login from suspicious IP", "Leaked password", "Account suspended (by Google)".
2) Set recipients.</t>
  </si>
  <si>
    <t>Force reauth/reset; verify with user; revoke sessions.</t>
  </si>
  <si>
    <t>AL-10</t>
  </si>
  <si>
    <t>Super admin / sensitive setting changed</t>
  </si>
  <si>
    <t>Any change by/to a super admin or security setting</t>
  </si>
  <si>
    <t>1) Reporting &gt; Rules on Admin log scoped to security settings.
2) Send to SIEM + security DL.</t>
  </si>
  <si>
    <t>Validate against change management; revert unauthorized changes.</t>
  </si>
  <si>
    <t>AL-11</t>
  </si>
  <si>
    <t>DLP rule triggered</t>
  </si>
  <si>
    <t>Sensitive-data DLP rule matches on send/share</t>
  </si>
  <si>
    <t>1) Data protection rules: set each rule action to include "Alert/Notify".
2) Confirm visible in Alert center.</t>
  </si>
  <si>
    <t>Review the exposure; block/recall if possible; notify data owner.</t>
  </si>
  <si>
    <t>AL-12</t>
  </si>
  <si>
    <t>Log export / alert rule disabled</t>
  </si>
  <si>
    <t>Audit log export or an alert rule is turned off</t>
  </si>
  <si>
    <t>1) Reporting &gt; Rules on Admin log for changes to reporting/rules config.
2) High severity to security DL.</t>
  </si>
  <si>
    <t>Re-enable immediately; investigate who disabled and why (possible attacker covering tracks).</t>
  </si>
  <si>
    <t>Assessment Scorecard</t>
  </si>
  <si>
    <t>Metric</t>
  </si>
  <si>
    <t>Value</t>
  </si>
  <si>
    <t>Notes</t>
  </si>
  <si>
    <t>Total controls</t>
  </si>
  <si>
    <t>Controls PASS</t>
  </si>
  <si>
    <t>Controls FAIL</t>
  </si>
  <si>
    <t>Remediate; FAIL on any P1 = critical risk</t>
  </si>
  <si>
    <t>Controls N/A</t>
  </si>
  <si>
    <t>Usually edition-gated</t>
  </si>
  <si>
    <t>Controls not yet assessed</t>
  </si>
  <si>
    <t>P1 controls failing</t>
  </si>
  <si>
    <t>Must be 0</t>
  </si>
  <si>
    <t>Compliance % (of assessed)</t>
  </si>
  <si>
    <t>PASS / (PASS+FAIL)</t>
  </si>
  <si>
    <t>Alerts configured</t>
  </si>
  <si>
    <t>Alerts NOT configured</t>
  </si>
  <si>
    <t>Each gap = blind spot</t>
  </si>
  <si>
    <t>Total alerts defined</t>
  </si>
  <si>
    <t>Priority Key &amp; Cadence</t>
  </si>
  <si>
    <t>Tier</t>
  </si>
  <si>
    <t>Meaning / Validation Cadence</t>
  </si>
  <si>
    <t>Critical</t>
  </si>
  <si>
    <t>Direct, highest-impact attack stoppers (MFA, admin control, OAuth, phishing). Validate MONTHLY and on every change. A P1 FAIL is a critical finding.</t>
  </si>
  <si>
    <t>High</t>
  </si>
  <si>
    <t>Strong containment &amp; exfiltration controls (CAA, MDM, sharing, forwarding, DLP). Validate QUARTERLY.</t>
  </si>
  <si>
    <t>Medium</t>
  </si>
  <si>
    <t>Attack-surface reduction &amp; visibility (logging, unused services, groups, calendar). Validate SEMI-ANNUALLY.</t>
  </si>
  <si>
    <t>Foundational</t>
  </si>
  <si>
    <t>Hygiene &amp; lifecycle (offboarding, password policy, retention). Validate SEMI-ANNUALLY.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</si>
</sst>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4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</fills>
  <borders count="5">
    <border/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3" fillId="3" fontId="5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3" fillId="6" fontId="6" numFmtId="0" xfId="0" applyAlignment="1" applyBorder="1" applyFill="1" applyFont="1">
      <alignment horizontal="center" shrinkToFit="0" vertical="center" wrapText="1"/>
    </xf>
    <xf borderId="3" fillId="7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horizontal="left" vertical="center"/>
    </xf>
    <xf borderId="4" fillId="0" fontId="2" numFmtId="0" xfId="0" applyBorder="1" applyFont="1"/>
    <xf borderId="3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4" numFmtId="9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95.0"/>
    <col customWidth="1" min="4" max="26" width="8.57"/>
  </cols>
  <sheetData>
    <row r="1" ht="14.25" customHeight="1"/>
    <row r="2" ht="36.0" customHeight="1">
      <c r="B2" s="1" t="s">
        <v>0</v>
      </c>
      <c r="C2" s="2"/>
    </row>
    <row r="3" ht="14.25" customHeight="1"/>
    <row r="4" ht="42.0" customHeight="1">
      <c r="B4" s="3" t="s">
        <v>1</v>
      </c>
      <c r="C4" s="4"/>
    </row>
    <row r="5" ht="42.0" customHeight="1">
      <c r="B5" s="3" t="s">
        <v>2</v>
      </c>
      <c r="C5" s="4" t="s">
        <v>3</v>
      </c>
    </row>
    <row r="6" ht="42.0" customHeight="1">
      <c r="B6" s="3" t="s">
        <v>4</v>
      </c>
      <c r="C6" s="4" t="s">
        <v>5</v>
      </c>
    </row>
    <row r="7" ht="42.0" customHeight="1">
      <c r="B7" s="3" t="s">
        <v>6</v>
      </c>
      <c r="C7" s="4" t="s">
        <v>7</v>
      </c>
    </row>
    <row r="8" ht="42.0" customHeight="1">
      <c r="B8" s="3" t="s">
        <v>8</v>
      </c>
      <c r="C8" s="4" t="s">
        <v>9</v>
      </c>
    </row>
    <row r="9" ht="42.0" customHeight="1">
      <c r="B9" s="3" t="s">
        <v>10</v>
      </c>
      <c r="C9" s="4" t="s">
        <v>11</v>
      </c>
    </row>
    <row r="10" ht="42.0" customHeight="1">
      <c r="B10" s="3" t="s">
        <v>12</v>
      </c>
      <c r="C10" s="4" t="s">
        <v>13</v>
      </c>
    </row>
    <row r="11" ht="42.0" customHeight="1">
      <c r="B11" s="3" t="s">
        <v>14</v>
      </c>
      <c r="C11" s="4" t="s">
        <v>15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C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9.0"/>
    <col customWidth="1" min="3" max="3" width="18.0"/>
    <col customWidth="1" min="4" max="4" width="30.0"/>
    <col customWidth="1" min="5" max="5" width="34.0"/>
    <col customWidth="1" min="6" max="6" width="60.0"/>
    <col customWidth="1" min="7" max="7" width="30.0"/>
    <col customWidth="1" min="8" max="8" width="15.0"/>
    <col customWidth="1" min="9" max="9" width="16.0"/>
    <col customWidth="1" min="10" max="26" width="8.57"/>
  </cols>
  <sheetData>
    <row r="1" ht="30.0" customHeight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ht="14.25" customHeight="1">
      <c r="A2" s="6" t="s">
        <v>25</v>
      </c>
      <c r="B2" s="7" t="s">
        <v>26</v>
      </c>
      <c r="C2" s="8" t="s">
        <v>27</v>
      </c>
      <c r="D2" s="9" t="s">
        <v>28</v>
      </c>
      <c r="E2" s="8" t="s">
        <v>29</v>
      </c>
      <c r="F2" s="8" t="s">
        <v>30</v>
      </c>
      <c r="G2" s="8" t="s">
        <v>31</v>
      </c>
      <c r="H2" s="10"/>
      <c r="I2" s="8"/>
    </row>
    <row r="3" ht="14.25" customHeight="1">
      <c r="A3" s="6" t="s">
        <v>32</v>
      </c>
      <c r="B3" s="7" t="s">
        <v>26</v>
      </c>
      <c r="C3" s="8" t="s">
        <v>27</v>
      </c>
      <c r="D3" s="9" t="s">
        <v>33</v>
      </c>
      <c r="E3" s="8" t="s">
        <v>34</v>
      </c>
      <c r="F3" s="8" t="s">
        <v>35</v>
      </c>
      <c r="G3" s="8" t="s">
        <v>36</v>
      </c>
      <c r="H3" s="10"/>
      <c r="I3" s="8"/>
    </row>
    <row r="4" ht="14.25" customHeight="1">
      <c r="A4" s="6" t="s">
        <v>37</v>
      </c>
      <c r="B4" s="7" t="s">
        <v>26</v>
      </c>
      <c r="C4" s="8" t="s">
        <v>38</v>
      </c>
      <c r="D4" s="9" t="s">
        <v>39</v>
      </c>
      <c r="E4" s="8" t="s">
        <v>40</v>
      </c>
      <c r="F4" s="8" t="s">
        <v>41</v>
      </c>
      <c r="G4" s="8" t="s">
        <v>42</v>
      </c>
      <c r="H4" s="10"/>
      <c r="I4" s="8"/>
    </row>
    <row r="5" ht="14.25" customHeight="1">
      <c r="A5" s="6" t="s">
        <v>43</v>
      </c>
      <c r="B5" s="7" t="s">
        <v>26</v>
      </c>
      <c r="C5" s="8" t="s">
        <v>38</v>
      </c>
      <c r="D5" s="9" t="s">
        <v>44</v>
      </c>
      <c r="E5" s="8" t="s">
        <v>45</v>
      </c>
      <c r="F5" s="8" t="s">
        <v>46</v>
      </c>
      <c r="G5" s="8" t="s">
        <v>47</v>
      </c>
      <c r="H5" s="11"/>
      <c r="I5" s="8"/>
    </row>
    <row r="6" ht="14.25" customHeight="1">
      <c r="A6" s="6" t="s">
        <v>48</v>
      </c>
      <c r="B6" s="7" t="s">
        <v>26</v>
      </c>
      <c r="C6" s="8" t="s">
        <v>49</v>
      </c>
      <c r="D6" s="9" t="s">
        <v>50</v>
      </c>
      <c r="E6" s="8" t="s">
        <v>51</v>
      </c>
      <c r="F6" s="8" t="s">
        <v>52</v>
      </c>
      <c r="G6" s="8" t="s">
        <v>53</v>
      </c>
      <c r="H6" s="11"/>
      <c r="I6" s="8"/>
    </row>
    <row r="7" ht="14.25" customHeight="1">
      <c r="A7" s="6" t="s">
        <v>54</v>
      </c>
      <c r="B7" s="7" t="s">
        <v>26</v>
      </c>
      <c r="C7" s="8" t="s">
        <v>55</v>
      </c>
      <c r="D7" s="9" t="s">
        <v>56</v>
      </c>
      <c r="E7" s="8" t="s">
        <v>57</v>
      </c>
      <c r="F7" s="8" t="s">
        <v>58</v>
      </c>
      <c r="G7" s="8" t="s">
        <v>59</v>
      </c>
      <c r="H7" s="11"/>
      <c r="I7" s="8"/>
    </row>
    <row r="8" ht="14.25" customHeight="1">
      <c r="A8" s="6" t="s">
        <v>60</v>
      </c>
      <c r="B8" s="7" t="s">
        <v>26</v>
      </c>
      <c r="C8" s="8" t="s">
        <v>55</v>
      </c>
      <c r="D8" s="9" t="s">
        <v>61</v>
      </c>
      <c r="E8" s="8" t="s">
        <v>62</v>
      </c>
      <c r="F8" s="8" t="s">
        <v>63</v>
      </c>
      <c r="G8" s="8" t="s">
        <v>64</v>
      </c>
      <c r="H8" s="11"/>
      <c r="I8" s="8"/>
    </row>
    <row r="9" ht="14.25" customHeight="1">
      <c r="A9" s="6" t="s">
        <v>65</v>
      </c>
      <c r="B9" s="7" t="s">
        <v>26</v>
      </c>
      <c r="C9" s="8" t="s">
        <v>66</v>
      </c>
      <c r="D9" s="9" t="s">
        <v>67</v>
      </c>
      <c r="E9" s="8" t="s">
        <v>68</v>
      </c>
      <c r="F9" s="8" t="s">
        <v>69</v>
      </c>
      <c r="G9" s="8" t="s">
        <v>70</v>
      </c>
      <c r="H9" s="11"/>
      <c r="I9" s="8"/>
    </row>
    <row r="10" ht="14.25" customHeight="1">
      <c r="A10" s="6" t="s">
        <v>71</v>
      </c>
      <c r="B10" s="12" t="s">
        <v>72</v>
      </c>
      <c r="C10" s="8" t="s">
        <v>66</v>
      </c>
      <c r="D10" s="9" t="s">
        <v>73</v>
      </c>
      <c r="E10" s="8" t="s">
        <v>74</v>
      </c>
      <c r="F10" s="8" t="s">
        <v>75</v>
      </c>
      <c r="G10" s="8" t="s">
        <v>76</v>
      </c>
      <c r="H10" s="11"/>
      <c r="I10" s="8"/>
    </row>
    <row r="11" ht="14.25" customHeight="1">
      <c r="A11" s="6" t="s">
        <v>77</v>
      </c>
      <c r="B11" s="12" t="s">
        <v>72</v>
      </c>
      <c r="C11" s="8" t="s">
        <v>78</v>
      </c>
      <c r="D11" s="9" t="s">
        <v>79</v>
      </c>
      <c r="E11" s="8" t="s">
        <v>80</v>
      </c>
      <c r="F11" s="8" t="s">
        <v>81</v>
      </c>
      <c r="G11" s="8" t="s">
        <v>82</v>
      </c>
      <c r="H11" s="11"/>
      <c r="I11" s="8"/>
    </row>
    <row r="12" ht="14.25" customHeight="1">
      <c r="A12" s="6" t="s">
        <v>83</v>
      </c>
      <c r="B12" s="12" t="s">
        <v>72</v>
      </c>
      <c r="C12" s="8" t="s">
        <v>84</v>
      </c>
      <c r="D12" s="9" t="s">
        <v>85</v>
      </c>
      <c r="E12" s="8" t="s">
        <v>86</v>
      </c>
      <c r="F12" s="8" t="s">
        <v>87</v>
      </c>
      <c r="G12" s="8" t="s">
        <v>88</v>
      </c>
      <c r="H12" s="11"/>
      <c r="I12" s="8"/>
    </row>
    <row r="13" ht="14.25" customHeight="1">
      <c r="A13" s="6" t="s">
        <v>89</v>
      </c>
      <c r="B13" s="12" t="s">
        <v>72</v>
      </c>
      <c r="C13" s="8" t="s">
        <v>55</v>
      </c>
      <c r="D13" s="9" t="s">
        <v>90</v>
      </c>
      <c r="E13" s="8" t="s">
        <v>91</v>
      </c>
      <c r="F13" s="8" t="s">
        <v>92</v>
      </c>
      <c r="G13" s="8" t="s">
        <v>93</v>
      </c>
      <c r="H13" s="11"/>
      <c r="I13" s="8"/>
    </row>
    <row r="14" ht="14.25" customHeight="1">
      <c r="A14" s="6" t="s">
        <v>94</v>
      </c>
      <c r="B14" s="12" t="s">
        <v>72</v>
      </c>
      <c r="C14" s="8" t="s">
        <v>55</v>
      </c>
      <c r="D14" s="9" t="s">
        <v>95</v>
      </c>
      <c r="E14" s="8" t="s">
        <v>96</v>
      </c>
      <c r="F14" s="8" t="s">
        <v>97</v>
      </c>
      <c r="G14" s="8" t="s">
        <v>98</v>
      </c>
      <c r="H14" s="11"/>
      <c r="I14" s="8"/>
    </row>
    <row r="15" ht="14.25" customHeight="1">
      <c r="A15" s="6" t="s">
        <v>99</v>
      </c>
      <c r="B15" s="12" t="s">
        <v>72</v>
      </c>
      <c r="C15" s="8" t="s">
        <v>100</v>
      </c>
      <c r="D15" s="9" t="s">
        <v>101</v>
      </c>
      <c r="E15" s="8" t="s">
        <v>102</v>
      </c>
      <c r="F15" s="8" t="s">
        <v>103</v>
      </c>
      <c r="G15" s="8" t="s">
        <v>104</v>
      </c>
      <c r="H15" s="11"/>
      <c r="I15" s="8"/>
    </row>
    <row r="16" ht="14.25" customHeight="1">
      <c r="A16" s="6" t="s">
        <v>105</v>
      </c>
      <c r="B16" s="12" t="s">
        <v>72</v>
      </c>
      <c r="C16" s="8" t="s">
        <v>106</v>
      </c>
      <c r="D16" s="9" t="s">
        <v>107</v>
      </c>
      <c r="E16" s="8" t="s">
        <v>108</v>
      </c>
      <c r="F16" s="8" t="s">
        <v>109</v>
      </c>
      <c r="G16" s="8" t="s">
        <v>110</v>
      </c>
      <c r="H16" s="11"/>
      <c r="I16" s="8"/>
    </row>
    <row r="17" ht="14.25" customHeight="1">
      <c r="A17" s="6" t="s">
        <v>111</v>
      </c>
      <c r="B17" s="12" t="s">
        <v>72</v>
      </c>
      <c r="C17" s="8" t="s">
        <v>112</v>
      </c>
      <c r="D17" s="9" t="s">
        <v>113</v>
      </c>
      <c r="E17" s="8" t="s">
        <v>114</v>
      </c>
      <c r="F17" s="8" t="s">
        <v>115</v>
      </c>
      <c r="G17" s="8" t="s">
        <v>116</v>
      </c>
      <c r="H17" s="11"/>
      <c r="I17" s="8"/>
    </row>
    <row r="18" ht="14.25" customHeight="1">
      <c r="A18" s="6" t="s">
        <v>117</v>
      </c>
      <c r="B18" s="13" t="s">
        <v>118</v>
      </c>
      <c r="C18" s="8" t="s">
        <v>119</v>
      </c>
      <c r="D18" s="9" t="s">
        <v>120</v>
      </c>
      <c r="E18" s="8" t="s">
        <v>121</v>
      </c>
      <c r="F18" s="8" t="s">
        <v>122</v>
      </c>
      <c r="G18" s="8" t="s">
        <v>123</v>
      </c>
      <c r="H18" s="11"/>
      <c r="I18" s="8"/>
    </row>
    <row r="19" ht="14.25" customHeight="1">
      <c r="A19" s="6" t="s">
        <v>124</v>
      </c>
      <c r="B19" s="13" t="s">
        <v>118</v>
      </c>
      <c r="C19" s="8" t="s">
        <v>125</v>
      </c>
      <c r="D19" s="9" t="s">
        <v>126</v>
      </c>
      <c r="E19" s="8" t="s">
        <v>127</v>
      </c>
      <c r="F19" s="8" t="s">
        <v>128</v>
      </c>
      <c r="G19" s="8" t="s">
        <v>129</v>
      </c>
      <c r="H19" s="11"/>
      <c r="I19" s="8"/>
    </row>
    <row r="20" ht="14.25" customHeight="1">
      <c r="A20" s="6" t="s">
        <v>130</v>
      </c>
      <c r="B20" s="13" t="s">
        <v>118</v>
      </c>
      <c r="C20" s="8" t="s">
        <v>131</v>
      </c>
      <c r="D20" s="9" t="s">
        <v>132</v>
      </c>
      <c r="E20" s="8" t="s">
        <v>133</v>
      </c>
      <c r="F20" s="8" t="s">
        <v>134</v>
      </c>
      <c r="G20" s="8" t="s">
        <v>135</v>
      </c>
      <c r="H20" s="11"/>
      <c r="I20" s="8"/>
    </row>
    <row r="21" ht="14.25" customHeight="1">
      <c r="A21" s="6" t="s">
        <v>136</v>
      </c>
      <c r="B21" s="13" t="s">
        <v>118</v>
      </c>
      <c r="C21" s="8" t="s">
        <v>137</v>
      </c>
      <c r="D21" s="9" t="s">
        <v>138</v>
      </c>
      <c r="E21" s="8" t="s">
        <v>139</v>
      </c>
      <c r="F21" s="8" t="s">
        <v>140</v>
      </c>
      <c r="G21" s="8" t="s">
        <v>141</v>
      </c>
      <c r="H21" s="11"/>
      <c r="I21" s="8"/>
    </row>
    <row r="22" ht="14.25" customHeight="1">
      <c r="A22" s="6" t="s">
        <v>142</v>
      </c>
      <c r="B22" s="13" t="s">
        <v>118</v>
      </c>
      <c r="C22" s="8" t="s">
        <v>143</v>
      </c>
      <c r="D22" s="9" t="s">
        <v>144</v>
      </c>
      <c r="E22" s="8" t="s">
        <v>145</v>
      </c>
      <c r="F22" s="8" t="s">
        <v>146</v>
      </c>
      <c r="G22" s="8" t="s">
        <v>147</v>
      </c>
      <c r="H22" s="11"/>
      <c r="I22" s="8"/>
    </row>
    <row r="23" ht="14.25" customHeight="1">
      <c r="A23" s="6" t="s">
        <v>148</v>
      </c>
      <c r="B23" s="14" t="s">
        <v>149</v>
      </c>
      <c r="C23" s="8" t="s">
        <v>150</v>
      </c>
      <c r="D23" s="9" t="s">
        <v>151</v>
      </c>
      <c r="E23" s="8" t="s">
        <v>152</v>
      </c>
      <c r="F23" s="8" t="s">
        <v>153</v>
      </c>
      <c r="G23" s="8" t="s">
        <v>154</v>
      </c>
      <c r="H23" s="11"/>
      <c r="I23" s="8"/>
    </row>
    <row r="24" ht="14.25" customHeight="1">
      <c r="A24" s="6" t="s">
        <v>155</v>
      </c>
      <c r="B24" s="14" t="s">
        <v>149</v>
      </c>
      <c r="C24" s="8" t="s">
        <v>156</v>
      </c>
      <c r="D24" s="9" t="s">
        <v>157</v>
      </c>
      <c r="E24" s="8" t="s">
        <v>158</v>
      </c>
      <c r="F24" s="8" t="s">
        <v>159</v>
      </c>
      <c r="G24" s="8" t="s">
        <v>160</v>
      </c>
      <c r="H24" s="11"/>
      <c r="I24" s="8"/>
    </row>
    <row r="25" ht="14.25" customHeight="1">
      <c r="A25" s="6" t="s">
        <v>161</v>
      </c>
      <c r="B25" s="14" t="s">
        <v>149</v>
      </c>
      <c r="C25" s="8" t="s">
        <v>38</v>
      </c>
      <c r="D25" s="9" t="s">
        <v>162</v>
      </c>
      <c r="E25" s="8" t="s">
        <v>163</v>
      </c>
      <c r="F25" s="8" t="s">
        <v>164</v>
      </c>
      <c r="G25" s="8" t="s">
        <v>165</v>
      </c>
      <c r="H25" s="11"/>
      <c r="I25" s="8"/>
    </row>
    <row r="26" ht="14.25" customHeight="1">
      <c r="A26" s="6" t="s">
        <v>166</v>
      </c>
      <c r="B26" s="14" t="s">
        <v>149</v>
      </c>
      <c r="C26" s="8" t="s">
        <v>100</v>
      </c>
      <c r="D26" s="9" t="s">
        <v>167</v>
      </c>
      <c r="E26" s="8" t="s">
        <v>168</v>
      </c>
      <c r="F26" s="8" t="s">
        <v>169</v>
      </c>
      <c r="G26" s="8" t="s">
        <v>170</v>
      </c>
      <c r="H26" s="11"/>
      <c r="I26" s="8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H2:H26">
      <formula1>"PASS,FAIL,NA,IN PROGRESS"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30.0"/>
    <col customWidth="1" min="4" max="4" width="34.0"/>
    <col customWidth="1" min="5" max="5" width="14.0"/>
    <col customWidth="1" min="6" max="6" width="62.0"/>
    <col customWidth="1" min="7" max="7" width="34.0"/>
    <col customWidth="1" min="8" max="8" width="14.0"/>
    <col customWidth="1" min="9" max="26" width="8.57"/>
  </cols>
  <sheetData>
    <row r="1" ht="30.0" customHeight="1">
      <c r="A1" s="5" t="s">
        <v>171</v>
      </c>
      <c r="B1" s="5" t="s">
        <v>172</v>
      </c>
      <c r="C1" s="5" t="s">
        <v>173</v>
      </c>
      <c r="D1" s="5" t="s">
        <v>174</v>
      </c>
      <c r="E1" s="5" t="s">
        <v>175</v>
      </c>
      <c r="F1" s="5" t="s">
        <v>176</v>
      </c>
      <c r="G1" s="5" t="s">
        <v>177</v>
      </c>
      <c r="H1" s="5" t="s">
        <v>178</v>
      </c>
    </row>
    <row r="2" ht="14.25" customHeight="1">
      <c r="A2" s="6" t="s">
        <v>179</v>
      </c>
      <c r="B2" s="8" t="s">
        <v>37</v>
      </c>
      <c r="C2" s="9" t="s">
        <v>180</v>
      </c>
      <c r="D2" s="8" t="s">
        <v>181</v>
      </c>
      <c r="E2" s="7" t="s">
        <v>182</v>
      </c>
      <c r="F2" s="8" t="s">
        <v>183</v>
      </c>
      <c r="G2" s="8" t="s">
        <v>184</v>
      </c>
      <c r="H2" s="11"/>
    </row>
    <row r="3" ht="14.25" customHeight="1">
      <c r="A3" s="6" t="s">
        <v>185</v>
      </c>
      <c r="B3" s="8" t="s">
        <v>186</v>
      </c>
      <c r="C3" s="9" t="s">
        <v>187</v>
      </c>
      <c r="D3" s="8" t="s">
        <v>188</v>
      </c>
      <c r="E3" s="13" t="s">
        <v>189</v>
      </c>
      <c r="F3" s="8" t="s">
        <v>190</v>
      </c>
      <c r="G3" s="8" t="s">
        <v>191</v>
      </c>
      <c r="H3" s="11"/>
    </row>
    <row r="4" ht="14.25" customHeight="1">
      <c r="A4" s="6" t="s">
        <v>192</v>
      </c>
      <c r="B4" s="8" t="s">
        <v>48</v>
      </c>
      <c r="C4" s="9" t="s">
        <v>193</v>
      </c>
      <c r="D4" s="8" t="s">
        <v>194</v>
      </c>
      <c r="E4" s="7" t="s">
        <v>182</v>
      </c>
      <c r="F4" s="8" t="s">
        <v>195</v>
      </c>
      <c r="G4" s="8" t="s">
        <v>196</v>
      </c>
      <c r="H4" s="11"/>
    </row>
    <row r="5" ht="14.25" customHeight="1">
      <c r="A5" s="6" t="s">
        <v>197</v>
      </c>
      <c r="B5" s="8" t="s">
        <v>54</v>
      </c>
      <c r="C5" s="9" t="s">
        <v>198</v>
      </c>
      <c r="D5" s="8" t="s">
        <v>199</v>
      </c>
      <c r="E5" s="7" t="s">
        <v>182</v>
      </c>
      <c r="F5" s="8" t="s">
        <v>200</v>
      </c>
      <c r="G5" s="8" t="s">
        <v>201</v>
      </c>
      <c r="H5" s="11"/>
    </row>
    <row r="6" ht="14.25" customHeight="1">
      <c r="A6" s="6" t="s">
        <v>202</v>
      </c>
      <c r="B6" s="8" t="s">
        <v>89</v>
      </c>
      <c r="C6" s="9" t="s">
        <v>203</v>
      </c>
      <c r="D6" s="8" t="s">
        <v>204</v>
      </c>
      <c r="E6" s="7" t="s">
        <v>182</v>
      </c>
      <c r="F6" s="8" t="s">
        <v>205</v>
      </c>
      <c r="G6" s="8" t="s">
        <v>206</v>
      </c>
      <c r="H6" s="11"/>
    </row>
    <row r="7" ht="14.25" customHeight="1">
      <c r="A7" s="6" t="s">
        <v>207</v>
      </c>
      <c r="B7" s="8" t="s">
        <v>208</v>
      </c>
      <c r="C7" s="9" t="s">
        <v>209</v>
      </c>
      <c r="D7" s="8" t="s">
        <v>210</v>
      </c>
      <c r="E7" s="13" t="s">
        <v>189</v>
      </c>
      <c r="F7" s="8" t="s">
        <v>211</v>
      </c>
      <c r="G7" s="8" t="s">
        <v>212</v>
      </c>
      <c r="H7" s="11"/>
    </row>
    <row r="8" ht="14.25" customHeight="1">
      <c r="A8" s="6" t="s">
        <v>213</v>
      </c>
      <c r="B8" s="8" t="s">
        <v>83</v>
      </c>
      <c r="C8" s="9" t="s">
        <v>214</v>
      </c>
      <c r="D8" s="8" t="s">
        <v>215</v>
      </c>
      <c r="E8" s="13" t="s">
        <v>189</v>
      </c>
      <c r="F8" s="8" t="s">
        <v>216</v>
      </c>
      <c r="G8" s="8" t="s">
        <v>217</v>
      </c>
      <c r="H8" s="11"/>
    </row>
    <row r="9" ht="14.25" customHeight="1">
      <c r="A9" s="6" t="s">
        <v>218</v>
      </c>
      <c r="B9" s="8" t="s">
        <v>148</v>
      </c>
      <c r="C9" s="9" t="s">
        <v>219</v>
      </c>
      <c r="D9" s="8" t="s">
        <v>220</v>
      </c>
      <c r="E9" s="7" t="s">
        <v>182</v>
      </c>
      <c r="F9" s="8" t="s">
        <v>221</v>
      </c>
      <c r="G9" s="8" t="s">
        <v>222</v>
      </c>
      <c r="H9" s="11"/>
    </row>
    <row r="10" ht="14.25" customHeight="1">
      <c r="A10" s="6" t="s">
        <v>223</v>
      </c>
      <c r="B10" s="8" t="s">
        <v>25</v>
      </c>
      <c r="C10" s="9" t="s">
        <v>224</v>
      </c>
      <c r="D10" s="8" t="s">
        <v>225</v>
      </c>
      <c r="E10" s="7" t="s">
        <v>182</v>
      </c>
      <c r="F10" s="8" t="s">
        <v>226</v>
      </c>
      <c r="G10" s="8" t="s">
        <v>227</v>
      </c>
      <c r="H10" s="11"/>
    </row>
    <row r="11" ht="14.25" customHeight="1">
      <c r="A11" s="6" t="s">
        <v>228</v>
      </c>
      <c r="B11" s="8" t="s">
        <v>43</v>
      </c>
      <c r="C11" s="9" t="s">
        <v>229</v>
      </c>
      <c r="D11" s="8" t="s">
        <v>230</v>
      </c>
      <c r="E11" s="13" t="s">
        <v>189</v>
      </c>
      <c r="F11" s="8" t="s">
        <v>231</v>
      </c>
      <c r="G11" s="8" t="s">
        <v>232</v>
      </c>
      <c r="H11" s="11"/>
    </row>
    <row r="12" ht="14.25" customHeight="1">
      <c r="A12" s="6" t="s">
        <v>233</v>
      </c>
      <c r="B12" s="8" t="s">
        <v>99</v>
      </c>
      <c r="C12" s="9" t="s">
        <v>234</v>
      </c>
      <c r="D12" s="8" t="s">
        <v>235</v>
      </c>
      <c r="E12" s="7" t="s">
        <v>182</v>
      </c>
      <c r="F12" s="8" t="s">
        <v>236</v>
      </c>
      <c r="G12" s="8" t="s">
        <v>237</v>
      </c>
      <c r="H12" s="11"/>
    </row>
    <row r="13" ht="14.25" customHeight="1">
      <c r="A13" s="6" t="s">
        <v>238</v>
      </c>
      <c r="B13" s="8" t="s">
        <v>117</v>
      </c>
      <c r="C13" s="9" t="s">
        <v>239</v>
      </c>
      <c r="D13" s="8" t="s">
        <v>240</v>
      </c>
      <c r="E13" s="13" t="s">
        <v>189</v>
      </c>
      <c r="F13" s="8" t="s">
        <v>241</v>
      </c>
      <c r="G13" s="8" t="s">
        <v>242</v>
      </c>
      <c r="H13" s="11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H2:H13">
      <formula1>"Y,N"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50.0"/>
    <col customWidth="1" min="4" max="4" width="4.0"/>
    <col customWidth="1" min="5" max="26" width="8.57"/>
  </cols>
  <sheetData>
    <row r="1" ht="25.5" customHeight="1">
      <c r="A1" s="15" t="s">
        <v>243</v>
      </c>
      <c r="B1" s="16"/>
      <c r="C1" s="16"/>
      <c r="D1" s="2"/>
    </row>
    <row r="2" ht="14.25" customHeight="1"/>
    <row r="3" ht="14.25" customHeight="1">
      <c r="A3" s="5" t="s">
        <v>244</v>
      </c>
      <c r="B3" s="5" t="s">
        <v>245</v>
      </c>
      <c r="C3" s="5" t="s">
        <v>246</v>
      </c>
      <c r="D3" s="5"/>
    </row>
    <row r="4" ht="14.25" customHeight="1">
      <c r="A4" s="17" t="s">
        <v>247</v>
      </c>
      <c r="B4" s="11">
        <f>COUNTA(Controls!A2:A26)</f>
        <v>25</v>
      </c>
      <c r="C4" s="18"/>
    </row>
    <row r="5" ht="14.25" customHeight="1">
      <c r="A5" s="17" t="s">
        <v>248</v>
      </c>
      <c r="B5" s="11">
        <f>COUNTIF(Controls!H2:H26,"PASS")</f>
        <v>0</v>
      </c>
      <c r="C5" s="18"/>
    </row>
    <row r="6" ht="14.25" customHeight="1">
      <c r="A6" s="17" t="s">
        <v>249</v>
      </c>
      <c r="B6" s="11">
        <f>COUNTIF(Controls!H2:H26,"FAIL")</f>
        <v>0</v>
      </c>
      <c r="C6" s="18" t="s">
        <v>250</v>
      </c>
    </row>
    <row r="7" ht="14.25" customHeight="1">
      <c r="A7" s="17" t="s">
        <v>251</v>
      </c>
      <c r="B7" s="11">
        <f>COUNTIF(Controls!H2:H26,"NA")</f>
        <v>0</v>
      </c>
      <c r="C7" s="18" t="s">
        <v>252</v>
      </c>
    </row>
    <row r="8" ht="14.25" customHeight="1">
      <c r="A8" s="17" t="s">
        <v>253</v>
      </c>
      <c r="B8" s="11">
        <f>COUNTBLANK(Controls!H2:H26)</f>
        <v>25</v>
      </c>
      <c r="C8" s="18"/>
    </row>
    <row r="9" ht="14.25" customHeight="1">
      <c r="A9" s="17" t="s">
        <v>254</v>
      </c>
      <c r="B9" s="11">
        <f>COUNTIFS(Controls!B2:B26,"P1",Controls!H2:H26,"FAIL")</f>
        <v>0</v>
      </c>
      <c r="C9" s="18" t="s">
        <v>255</v>
      </c>
    </row>
    <row r="10" ht="14.25" customHeight="1">
      <c r="A10" s="17" t="s">
        <v>256</v>
      </c>
      <c r="B10" s="19">
        <f>IFERROR(COUNTIF(Controls!H2:H26,"PASS")/(COUNTIF(Controls!H2:H26,"PASS")+COUNTIF(Controls!H2:H26,"FAIL")),0)</f>
        <v>0</v>
      </c>
      <c r="C10" s="18" t="s">
        <v>257</v>
      </c>
    </row>
    <row r="11" ht="14.25" customHeight="1">
      <c r="A11" s="17" t="s">
        <v>258</v>
      </c>
      <c r="B11" s="11">
        <f>COUNTIF(Alerts!H2:H13,"Y")</f>
        <v>0</v>
      </c>
      <c r="C11" s="18"/>
    </row>
    <row r="12" ht="14.25" customHeight="1">
      <c r="A12" s="17" t="s">
        <v>259</v>
      </c>
      <c r="B12" s="11">
        <f>COUNTIF(Alerts!H2:H13,"N")</f>
        <v>0</v>
      </c>
      <c r="C12" s="18" t="s">
        <v>260</v>
      </c>
    </row>
    <row r="13" ht="14.25" customHeight="1">
      <c r="A13" s="17" t="s">
        <v>261</v>
      </c>
      <c r="B13" s="11">
        <f>COUNTA(Alerts!A2:A13)</f>
        <v>12</v>
      </c>
      <c r="C13" s="18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70.0"/>
    <col customWidth="1" min="4" max="26" width="8.57"/>
  </cols>
  <sheetData>
    <row r="1" ht="25.5" customHeight="1">
      <c r="A1" s="20" t="s">
        <v>262</v>
      </c>
      <c r="B1" s="16"/>
      <c r="C1" s="2"/>
    </row>
    <row r="2" ht="14.25" customHeight="1"/>
    <row r="3" ht="14.25" customHeight="1">
      <c r="A3" s="5" t="s">
        <v>17</v>
      </c>
      <c r="B3" s="5" t="s">
        <v>263</v>
      </c>
      <c r="C3" s="5" t="s">
        <v>264</v>
      </c>
    </row>
    <row r="4" ht="51.75" customHeight="1">
      <c r="A4" s="7" t="s">
        <v>26</v>
      </c>
      <c r="B4" s="17" t="s">
        <v>265</v>
      </c>
      <c r="C4" s="18" t="s">
        <v>266</v>
      </c>
    </row>
    <row r="5" ht="51.75" customHeight="1">
      <c r="A5" s="12" t="s">
        <v>72</v>
      </c>
      <c r="B5" s="17" t="s">
        <v>267</v>
      </c>
      <c r="C5" s="18" t="s">
        <v>268</v>
      </c>
    </row>
    <row r="6" ht="51.75" customHeight="1">
      <c r="A6" s="13" t="s">
        <v>118</v>
      </c>
      <c r="B6" s="17" t="s">
        <v>269</v>
      </c>
      <c r="C6" s="18" t="s">
        <v>270</v>
      </c>
    </row>
    <row r="7" ht="51.75" customHeight="1">
      <c r="A7" s="14" t="s">
        <v>149</v>
      </c>
      <c r="B7" s="17" t="s">
        <v>271</v>
      </c>
      <c r="C7" s="18" t="s">
        <v>272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2026-05-29T17:27:30Z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2026-05-29T17:30:36Z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76671b02-33d5-4c55-815a-9cb83f6091a8</vt:lpwstr>
  </property>
  <property fmtid="{D5CDD505-2E9C-101B-9397-08002B2CF9AE}" pid="7" name="MSIP_Label_defa4170-0d19-0005-0004-bc88714345d2_ActionId">
    <vt:lpwstr>ec150c33-ac77-49f7-9430-148644e76637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0x010100DCC3E8F0C42B3544AEAEC3B7ECF0D88D</vt:lpwstr>
  </property>
</Properties>
</file>